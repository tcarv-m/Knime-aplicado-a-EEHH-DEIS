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adr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<sst xmlns="http://schemas.openxmlformats.org/spreadsheetml/2006/main" count="40" uniqueCount="40">
  <si>
    <t xml:space="preserve">Población nacional total hombres, INE (número de personas)</t>
  </si>
  <si>
    <t xml:space="preserve">Reg</t>
  </si>
  <si>
    <t xml:space="preserve">Descripción series</t>
  </si>
  <si>
    <t xml:space="preserve">promedio_01_24</t>
  </si>
  <si>
    <t xml:space="preserve">prom_02_24</t>
  </si>
  <si>
    <t xml:space="preserve">diferencia(%)</t>
  </si>
  <si>
    <t xml:space="preserve">1.</t>
  </si>
  <si>
    <t xml:space="preserve">Población hombres, INE (número de personas). </t>
  </si>
  <si>
    <t xml:space="preserve">1.1.</t>
  </si>
  <si>
    <t xml:space="preserve">      Región de Arica y Parinacota</t>
  </si>
  <si>
    <t xml:space="preserve">1.2.</t>
  </si>
  <si>
    <t xml:space="preserve">      Región de Tarapacá</t>
  </si>
  <si>
    <t xml:space="preserve">1.3.</t>
  </si>
  <si>
    <t xml:space="preserve">      Región de Antofagasta</t>
  </si>
  <si>
    <t xml:space="preserve">1.4.</t>
  </si>
  <si>
    <t xml:space="preserve">      Región de Atacama</t>
  </si>
  <si>
    <t xml:space="preserve">1.5.</t>
  </si>
  <si>
    <t xml:space="preserve">      Región de Coquimbo</t>
  </si>
  <si>
    <t xml:space="preserve">1.6.</t>
  </si>
  <si>
    <t xml:space="preserve">      Región de Valparaíso</t>
  </si>
  <si>
    <t xml:space="preserve">1.7.</t>
  </si>
  <si>
    <t xml:space="preserve">      Región Metropolitana</t>
  </si>
  <si>
    <t xml:space="preserve">1.8.</t>
  </si>
  <si>
    <t xml:space="preserve">      Región del Libertador General Bernardo O'Higgins</t>
  </si>
  <si>
    <t xml:space="preserve">1.9.</t>
  </si>
  <si>
    <t xml:space="preserve">      Región del Maule</t>
  </si>
  <si>
    <t xml:space="preserve">1.10.</t>
  </si>
  <si>
    <t xml:space="preserve">      Región del Biobío</t>
  </si>
  <si>
    <t xml:space="preserve">1.11.</t>
  </si>
  <si>
    <t xml:space="preserve">      Región de Ñuble</t>
  </si>
  <si>
    <t xml:space="preserve">1.12.</t>
  </si>
  <si>
    <t xml:space="preserve">      Región de La Araucanía</t>
  </si>
  <si>
    <t xml:space="preserve">1.13.</t>
  </si>
  <si>
    <t xml:space="preserve">      Región de Los Ríos</t>
  </si>
  <si>
    <t xml:space="preserve">1.14.</t>
  </si>
  <si>
    <t xml:space="preserve">      Región de Los Lagos</t>
  </si>
  <si>
    <t xml:space="preserve">1.15.</t>
  </si>
  <si>
    <t xml:space="preserve">      Región de Aysén del General Carlos Ibáñez del Campo</t>
  </si>
  <si>
    <t xml:space="preserve">1.16.</t>
  </si>
  <si>
    <t xml:space="preserve">      Región de Magallanes y la Antártica Chilena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</si>
</sst>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"/>
    <numFmt numFmtId="166" formatCode="#,##0.00"/>
    <numFmt numFmtId="167" formatCode="0.000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0"/>
  <sheetViews>
    <sheetView showFormulas="false" showGridLines="true" showRowColHeaders="true" showZeros="true" rightToLeft="false" tabSelected="true" showOutlineSymbols="true" defaultGridColor="true" view="normal" topLeftCell="X1" colorId="64" zoomScale="100" zoomScaleNormal="100" zoomScalePageLayoutView="100" workbookViewId="0">
      <selection pane="topLeft" activeCell="AG7" activeCellId="0" sqref="AG7"/>
    </sheetView>
  </sheetViews>
  <sheetFormatPr defaultColWidth="8.5078125" defaultRowHeight="12.8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5"/>
    <col collapsed="false" customWidth="true" hidden="false" outlineLevel="0" max="26" min="3" style="1" width="20"/>
    <col collapsed="false" customWidth="true" hidden="false" outlineLevel="0" max="27" min="27" style="1" width="10.66"/>
    <col collapsed="false" customWidth="true" hidden="false" outlineLevel="0" max="28" min="28" style="1" width="11.64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3.8" hidden="false" customHeight="false" outlineLevel="0" collapsed="false"/>
    <row r="3" customFormat="false" ht="15" hidden="false" customHeight="false" outlineLevel="0" collapsed="false">
      <c r="A3" s="2" t="s">
        <v>1</v>
      </c>
      <c r="B3" s="2" t="s">
        <v>2</v>
      </c>
      <c r="C3" s="3" t="n">
        <v>36892</v>
      </c>
      <c r="D3" s="3" t="n">
        <v>37257</v>
      </c>
      <c r="E3" s="3" t="n">
        <v>37622</v>
      </c>
      <c r="F3" s="3" t="n">
        <v>37987</v>
      </c>
      <c r="G3" s="3" t="n">
        <v>38353</v>
      </c>
      <c r="H3" s="3" t="n">
        <v>38718</v>
      </c>
      <c r="I3" s="3" t="n">
        <v>39083</v>
      </c>
      <c r="J3" s="3" t="n">
        <v>39448</v>
      </c>
      <c r="K3" s="3" t="n">
        <v>39814</v>
      </c>
      <c r="L3" s="3" t="n">
        <v>40179</v>
      </c>
      <c r="M3" s="3" t="n">
        <v>40544</v>
      </c>
      <c r="N3" s="3" t="n">
        <v>40909</v>
      </c>
      <c r="O3" s="3" t="n">
        <v>41275</v>
      </c>
      <c r="P3" s="3" t="n">
        <v>41640</v>
      </c>
      <c r="Q3" s="3" t="n">
        <v>42005</v>
      </c>
      <c r="R3" s="3" t="n">
        <v>42370</v>
      </c>
      <c r="S3" s="3" t="n">
        <v>42736</v>
      </c>
      <c r="T3" s="3" t="n">
        <v>43101</v>
      </c>
      <c r="U3" s="3" t="n">
        <v>43466</v>
      </c>
      <c r="V3" s="3" t="n">
        <v>43831</v>
      </c>
      <c r="W3" s="3" t="n">
        <v>44197</v>
      </c>
      <c r="X3" s="3" t="n">
        <v>44562</v>
      </c>
      <c r="Y3" s="3" t="n">
        <v>44927</v>
      </c>
      <c r="Z3" s="3" t="n">
        <v>45292</v>
      </c>
      <c r="AA3" s="4" t="s">
        <v>3</v>
      </c>
      <c r="AB3" s="4" t="s">
        <v>4</v>
      </c>
      <c r="AC3" s="4" t="s">
        <v>5</v>
      </c>
    </row>
    <row r="4" customFormat="false" ht="13.8" hidden="false" customHeight="false" outlineLevel="0" collapsed="false">
      <c r="A4" s="1" t="s">
        <v>6</v>
      </c>
      <c r="B4" s="5" t="s">
        <v>7</v>
      </c>
      <c r="C4" s="6" t="n">
        <v>7635895</v>
      </c>
      <c r="D4" s="6" t="n">
        <v>7720701</v>
      </c>
      <c r="E4" s="6" t="n">
        <v>7802261</v>
      </c>
      <c r="F4" s="6" t="n">
        <v>7883618</v>
      </c>
      <c r="G4" s="6" t="n">
        <v>7963051</v>
      </c>
      <c r="H4" s="6" t="n">
        <v>8043964</v>
      </c>
      <c r="I4" s="6" t="n">
        <v>8127739</v>
      </c>
      <c r="J4" s="6" t="n">
        <v>8216437</v>
      </c>
      <c r="K4" s="6" t="n">
        <v>8307013</v>
      </c>
      <c r="L4" s="6" t="n">
        <v>8397402</v>
      </c>
      <c r="M4" s="6" t="n">
        <v>8491323</v>
      </c>
      <c r="N4" s="6" t="n">
        <v>8584706</v>
      </c>
      <c r="O4" s="6" t="n">
        <v>8667644</v>
      </c>
      <c r="P4" s="6" t="n">
        <v>8754428</v>
      </c>
      <c r="Q4" s="6" t="n">
        <v>8845449</v>
      </c>
      <c r="R4" s="6" t="n">
        <v>8943482</v>
      </c>
      <c r="S4" s="6" t="n">
        <v>9074217</v>
      </c>
      <c r="T4" s="6" t="n">
        <v>9244484</v>
      </c>
      <c r="U4" s="6" t="n">
        <v>9424139</v>
      </c>
      <c r="V4" s="6" t="n">
        <v>9599101</v>
      </c>
      <c r="W4" s="6" t="n">
        <v>9708512</v>
      </c>
      <c r="X4" s="6" t="n">
        <v>9782978</v>
      </c>
      <c r="Y4" s="6" t="n">
        <v>9848466</v>
      </c>
      <c r="Z4" s="6" t="n">
        <v>9910500</v>
      </c>
      <c r="AA4" s="4" t="n">
        <f aca="false">SUM(C4:Z4)/24</f>
        <v>8707396.25</v>
      </c>
      <c r="AB4" s="7" t="n">
        <f aca="false">SUM(D4:Z4)/23</f>
        <v>8753983.26086956</v>
      </c>
      <c r="AC4" s="4" t="n">
        <f aca="false">((AB4-AA4)/AB4)*100</f>
        <v>0.532180716837889</v>
      </c>
      <c r="AD4" s="8"/>
    </row>
    <row r="5" customFormat="false" ht="13.8" hidden="false" customHeight="false" outlineLevel="0" collapsed="false">
      <c r="A5" s="1" t="s">
        <v>8</v>
      </c>
      <c r="B5" s="5" t="s">
        <v>9</v>
      </c>
      <c r="C5" s="5"/>
      <c r="D5" s="6" t="n">
        <v>96647</v>
      </c>
      <c r="E5" s="6" t="n">
        <v>97511</v>
      </c>
      <c r="F5" s="6" t="n">
        <v>98500</v>
      </c>
      <c r="G5" s="6" t="n">
        <v>99537</v>
      </c>
      <c r="H5" s="6" t="n">
        <v>100671</v>
      </c>
      <c r="I5" s="6" t="n">
        <v>101849</v>
      </c>
      <c r="J5" s="6" t="n">
        <v>103246</v>
      </c>
      <c r="K5" s="6" t="n">
        <v>104725</v>
      </c>
      <c r="L5" s="6" t="n">
        <v>106291</v>
      </c>
      <c r="M5" s="6" t="n">
        <v>108132</v>
      </c>
      <c r="N5" s="6" t="n">
        <v>110026</v>
      </c>
      <c r="O5" s="6" t="n">
        <v>111535</v>
      </c>
      <c r="P5" s="6" t="n">
        <v>113127</v>
      </c>
      <c r="Q5" s="6" t="n">
        <v>114800</v>
      </c>
      <c r="R5" s="6" t="n">
        <v>116479</v>
      </c>
      <c r="S5" s="6" t="n">
        <v>118312</v>
      </c>
      <c r="T5" s="6" t="n">
        <v>121177</v>
      </c>
      <c r="U5" s="6" t="n">
        <v>124067</v>
      </c>
      <c r="V5" s="6" t="n">
        <v>126744</v>
      </c>
      <c r="W5" s="6" t="n">
        <v>128511</v>
      </c>
      <c r="X5" s="6" t="n">
        <v>129821</v>
      </c>
      <c r="Y5" s="6" t="n">
        <v>130999</v>
      </c>
      <c r="Z5" s="6" t="n">
        <v>132125</v>
      </c>
      <c r="AB5" s="7" t="n">
        <f aca="false">SUM(D5:Z5)/23</f>
        <v>112818.782608696</v>
      </c>
      <c r="AD5" s="8"/>
    </row>
    <row r="6" customFormat="false" ht="13.8" hidden="false" customHeight="false" outlineLevel="0" collapsed="false">
      <c r="A6" s="1" t="s">
        <v>10</v>
      </c>
      <c r="B6" s="5" t="s">
        <v>11</v>
      </c>
      <c r="C6" s="5"/>
      <c r="D6" s="6" t="n">
        <v>125603</v>
      </c>
      <c r="E6" s="6" t="n">
        <v>128304</v>
      </c>
      <c r="F6" s="6" t="n">
        <v>131228</v>
      </c>
      <c r="G6" s="6" t="n">
        <v>134113</v>
      </c>
      <c r="H6" s="6" t="n">
        <v>137026</v>
      </c>
      <c r="I6" s="6" t="n">
        <v>140027</v>
      </c>
      <c r="J6" s="6" t="n">
        <v>143164</v>
      </c>
      <c r="K6" s="6" t="n">
        <v>146371</v>
      </c>
      <c r="L6" s="6" t="n">
        <v>149563</v>
      </c>
      <c r="M6" s="6" t="n">
        <v>153017</v>
      </c>
      <c r="N6" s="6" t="n">
        <v>156525</v>
      </c>
      <c r="O6" s="6" t="n">
        <v>159708</v>
      </c>
      <c r="P6" s="6" t="n">
        <v>162988</v>
      </c>
      <c r="Q6" s="6" t="n">
        <v>166265</v>
      </c>
      <c r="R6" s="6" t="n">
        <v>169438</v>
      </c>
      <c r="S6" s="6" t="n">
        <v>173093</v>
      </c>
      <c r="T6" s="6" t="n">
        <v>179390</v>
      </c>
      <c r="U6" s="6" t="n">
        <v>186270</v>
      </c>
      <c r="V6" s="6" t="n">
        <v>193145</v>
      </c>
      <c r="W6" s="6" t="n">
        <v>197277</v>
      </c>
      <c r="X6" s="6" t="n">
        <v>199973</v>
      </c>
      <c r="Y6" s="6" t="n">
        <v>202347</v>
      </c>
      <c r="Z6" s="6" t="n">
        <v>204628</v>
      </c>
      <c r="AB6" s="7" t="n">
        <f aca="false">SUM(D6:Z6)/23</f>
        <v>162585.347826087</v>
      </c>
      <c r="AD6" s="8"/>
    </row>
    <row r="7" customFormat="false" ht="13.8" hidden="false" customHeight="false" outlineLevel="0" collapsed="false">
      <c r="A7" s="1" t="s">
        <v>12</v>
      </c>
      <c r="B7" s="5" t="s">
        <v>13</v>
      </c>
      <c r="C7" s="5"/>
      <c r="D7" s="6" t="n">
        <v>255744</v>
      </c>
      <c r="E7" s="6" t="n">
        <v>259498</v>
      </c>
      <c r="F7" s="6" t="n">
        <v>263206</v>
      </c>
      <c r="G7" s="6" t="n">
        <v>266809</v>
      </c>
      <c r="H7" s="6" t="n">
        <v>270420</v>
      </c>
      <c r="I7" s="6" t="n">
        <v>274213</v>
      </c>
      <c r="J7" s="6" t="n">
        <v>278146</v>
      </c>
      <c r="K7" s="6" t="n">
        <v>281976</v>
      </c>
      <c r="L7" s="6" t="n">
        <v>285788</v>
      </c>
      <c r="M7" s="6" t="n">
        <v>289719</v>
      </c>
      <c r="N7" s="6" t="n">
        <v>293560</v>
      </c>
      <c r="O7" s="6" t="n">
        <v>297628</v>
      </c>
      <c r="P7" s="6" t="n">
        <v>302118</v>
      </c>
      <c r="Q7" s="6" t="n">
        <v>306244</v>
      </c>
      <c r="R7" s="6" t="n">
        <v>310438</v>
      </c>
      <c r="S7" s="6" t="n">
        <v>315354</v>
      </c>
      <c r="T7" s="6" t="n">
        <v>325309</v>
      </c>
      <c r="U7" s="6" t="n">
        <v>336667</v>
      </c>
      <c r="V7" s="6" t="n">
        <v>348210</v>
      </c>
      <c r="W7" s="6" t="n">
        <v>354057</v>
      </c>
      <c r="X7" s="6" t="n">
        <v>356913</v>
      </c>
      <c r="Y7" s="6" t="n">
        <v>359072</v>
      </c>
      <c r="Z7" s="6" t="n">
        <v>361009</v>
      </c>
      <c r="AB7" s="7" t="n">
        <f aca="false">SUM(D7:Z7)/23</f>
        <v>304004.260869565</v>
      </c>
      <c r="AD7" s="8"/>
    </row>
    <row r="8" customFormat="false" ht="13.8" hidden="false" customHeight="false" outlineLevel="0" collapsed="false">
      <c r="A8" s="1" t="s">
        <v>14</v>
      </c>
      <c r="B8" s="5" t="s">
        <v>15</v>
      </c>
      <c r="C8" s="5"/>
      <c r="D8" s="6" t="n">
        <v>133438</v>
      </c>
      <c r="E8" s="6" t="n">
        <v>134848</v>
      </c>
      <c r="F8" s="6" t="n">
        <v>136153</v>
      </c>
      <c r="G8" s="6" t="n">
        <v>137435</v>
      </c>
      <c r="H8" s="6" t="n">
        <v>138790</v>
      </c>
      <c r="I8" s="6" t="n">
        <v>140223</v>
      </c>
      <c r="J8" s="6" t="n">
        <v>141694</v>
      </c>
      <c r="K8" s="6" t="n">
        <v>143222</v>
      </c>
      <c r="L8" s="6" t="n">
        <v>144779</v>
      </c>
      <c r="M8" s="6" t="n">
        <v>146360</v>
      </c>
      <c r="N8" s="6" t="n">
        <v>147820</v>
      </c>
      <c r="O8" s="6" t="n">
        <v>149191</v>
      </c>
      <c r="P8" s="6" t="n">
        <v>150576</v>
      </c>
      <c r="Q8" s="6" t="n">
        <v>151806</v>
      </c>
      <c r="R8" s="6" t="n">
        <v>152949</v>
      </c>
      <c r="S8" s="6" t="n">
        <v>154008</v>
      </c>
      <c r="T8" s="6" t="n">
        <v>155595</v>
      </c>
      <c r="U8" s="6" t="n">
        <v>157283</v>
      </c>
      <c r="V8" s="6" t="n">
        <v>158939</v>
      </c>
      <c r="W8" s="6" t="n">
        <v>159897</v>
      </c>
      <c r="X8" s="6" t="n">
        <v>160468</v>
      </c>
      <c r="Y8" s="6" t="n">
        <v>160922</v>
      </c>
      <c r="Z8" s="6" t="n">
        <v>161331</v>
      </c>
      <c r="AB8" s="7" t="n">
        <f aca="false">SUM(D8:Z8)/23</f>
        <v>148596.826086957</v>
      </c>
      <c r="AD8" s="8"/>
    </row>
    <row r="9" customFormat="false" ht="13.8" hidden="false" customHeight="false" outlineLevel="0" collapsed="false">
      <c r="A9" s="1" t="s">
        <v>16</v>
      </c>
      <c r="B9" s="5" t="s">
        <v>17</v>
      </c>
      <c r="C9" s="5"/>
      <c r="D9" s="6" t="n">
        <v>310025</v>
      </c>
      <c r="E9" s="6" t="n">
        <v>314239</v>
      </c>
      <c r="F9" s="6" t="n">
        <v>318505</v>
      </c>
      <c r="G9" s="6" t="n">
        <v>322821</v>
      </c>
      <c r="H9" s="6" t="n">
        <v>327300</v>
      </c>
      <c r="I9" s="6" t="n">
        <v>331820</v>
      </c>
      <c r="J9" s="6" t="n">
        <v>336719</v>
      </c>
      <c r="K9" s="6" t="n">
        <v>341987</v>
      </c>
      <c r="L9" s="6" t="n">
        <v>347447</v>
      </c>
      <c r="M9" s="6" t="n">
        <v>353125</v>
      </c>
      <c r="N9" s="6" t="n">
        <v>358965</v>
      </c>
      <c r="O9" s="6" t="n">
        <v>364743</v>
      </c>
      <c r="P9" s="6" t="n">
        <v>370709</v>
      </c>
      <c r="Q9" s="6" t="n">
        <v>376761</v>
      </c>
      <c r="R9" s="6" t="n">
        <v>382599</v>
      </c>
      <c r="S9" s="6" t="n">
        <v>388759</v>
      </c>
      <c r="T9" s="6" t="n">
        <v>395636</v>
      </c>
      <c r="U9" s="6" t="n">
        <v>402663</v>
      </c>
      <c r="V9" s="6" t="n">
        <v>409614</v>
      </c>
      <c r="W9" s="6" t="n">
        <v>415361</v>
      </c>
      <c r="X9" s="6" t="n">
        <v>420466</v>
      </c>
      <c r="Y9" s="6" t="n">
        <v>425400</v>
      </c>
      <c r="Z9" s="6" t="n">
        <v>430248</v>
      </c>
      <c r="AB9" s="7" t="n">
        <f aca="false">SUM(D9:Z9)/23</f>
        <v>367213.565217391</v>
      </c>
      <c r="AD9" s="8"/>
    </row>
    <row r="10" customFormat="false" ht="13.8" hidden="false" customHeight="false" outlineLevel="0" collapsed="false">
      <c r="A10" s="1" t="s">
        <v>18</v>
      </c>
      <c r="B10" s="5" t="s">
        <v>19</v>
      </c>
      <c r="C10" s="5"/>
      <c r="D10" s="6" t="n">
        <v>780192</v>
      </c>
      <c r="E10" s="6" t="n">
        <v>789422</v>
      </c>
      <c r="F10" s="6" t="n">
        <v>798452</v>
      </c>
      <c r="G10" s="6" t="n">
        <v>807310</v>
      </c>
      <c r="H10" s="6" t="n">
        <v>816179</v>
      </c>
      <c r="I10" s="6" t="n">
        <v>825151</v>
      </c>
      <c r="J10" s="6" t="n">
        <v>834518</v>
      </c>
      <c r="K10" s="6" t="n">
        <v>844097</v>
      </c>
      <c r="L10" s="6" t="n">
        <v>853710</v>
      </c>
      <c r="M10" s="6" t="n">
        <v>863426</v>
      </c>
      <c r="N10" s="6" t="n">
        <v>873383</v>
      </c>
      <c r="O10" s="6" t="n">
        <v>882414</v>
      </c>
      <c r="P10" s="6" t="n">
        <v>891643</v>
      </c>
      <c r="Q10" s="6" t="n">
        <v>901240</v>
      </c>
      <c r="R10" s="6" t="n">
        <v>910679</v>
      </c>
      <c r="S10" s="6" t="n">
        <v>921681</v>
      </c>
      <c r="T10" s="6" t="n">
        <v>934075</v>
      </c>
      <c r="U10" s="6" t="n">
        <v>946578</v>
      </c>
      <c r="V10" s="6" t="n">
        <v>958672</v>
      </c>
      <c r="W10" s="6" t="n">
        <v>968008</v>
      </c>
      <c r="X10" s="6" t="n">
        <v>975818</v>
      </c>
      <c r="Y10" s="6" t="n">
        <v>983195</v>
      </c>
      <c r="Z10" s="6" t="n">
        <v>990348</v>
      </c>
      <c r="AB10" s="7" t="n">
        <f aca="false">SUM(D10:Z10)/23</f>
        <v>884790.913043478</v>
      </c>
      <c r="AD10" s="8"/>
    </row>
    <row r="11" customFormat="false" ht="13.8" hidden="false" customHeight="false" outlineLevel="0" collapsed="false">
      <c r="A11" s="1" t="s">
        <v>20</v>
      </c>
      <c r="B11" s="5" t="s">
        <v>21</v>
      </c>
      <c r="C11" s="5"/>
      <c r="D11" s="6" t="n">
        <v>3059467</v>
      </c>
      <c r="E11" s="6" t="n">
        <v>3097915</v>
      </c>
      <c r="F11" s="6" t="n">
        <v>3136310</v>
      </c>
      <c r="G11" s="6" t="n">
        <v>3173126</v>
      </c>
      <c r="H11" s="6" t="n">
        <v>3210620</v>
      </c>
      <c r="I11" s="6" t="n">
        <v>3249256</v>
      </c>
      <c r="J11" s="6" t="n">
        <v>3289779</v>
      </c>
      <c r="K11" s="6" t="n">
        <v>3330102</v>
      </c>
      <c r="L11" s="6" t="n">
        <v>3369905</v>
      </c>
      <c r="M11" s="6" t="n">
        <v>3411550</v>
      </c>
      <c r="N11" s="6" t="n">
        <v>3453519</v>
      </c>
      <c r="O11" s="6" t="n">
        <v>3488563</v>
      </c>
      <c r="P11" s="6" t="n">
        <v>3526022</v>
      </c>
      <c r="Q11" s="6" t="n">
        <v>3566630</v>
      </c>
      <c r="R11" s="6" t="n">
        <v>3614461</v>
      </c>
      <c r="S11" s="6" t="n">
        <v>3690365</v>
      </c>
      <c r="T11" s="6" t="n">
        <v>3793180</v>
      </c>
      <c r="U11" s="6" t="n">
        <v>3903339</v>
      </c>
      <c r="V11" s="6" t="n">
        <v>4010416</v>
      </c>
      <c r="W11" s="6" t="n">
        <v>4071264</v>
      </c>
      <c r="X11" s="6" t="n">
        <v>4107724</v>
      </c>
      <c r="Y11" s="6" t="n">
        <v>4138275</v>
      </c>
      <c r="Z11" s="6" t="n">
        <v>4166844</v>
      </c>
      <c r="AB11" s="7" t="n">
        <f aca="false">SUM(D11:Z11)/23</f>
        <v>3559070.95652174</v>
      </c>
      <c r="AD11" s="8"/>
    </row>
    <row r="12" customFormat="false" ht="13.8" hidden="false" customHeight="false" outlineLevel="0" collapsed="false">
      <c r="A12" s="1" t="s">
        <v>22</v>
      </c>
      <c r="B12" s="5" t="s">
        <v>23</v>
      </c>
      <c r="C12" s="5"/>
      <c r="D12" s="6" t="n">
        <v>405271</v>
      </c>
      <c r="E12" s="6" t="n">
        <v>409587</v>
      </c>
      <c r="F12" s="6" t="n">
        <v>413896</v>
      </c>
      <c r="G12" s="6" t="n">
        <v>418166</v>
      </c>
      <c r="H12" s="6" t="n">
        <v>422418</v>
      </c>
      <c r="I12" s="6" t="n">
        <v>426839</v>
      </c>
      <c r="J12" s="6" t="n">
        <v>431620</v>
      </c>
      <c r="K12" s="6" t="n">
        <v>436543</v>
      </c>
      <c r="L12" s="6" t="n">
        <v>441525</v>
      </c>
      <c r="M12" s="6" t="n">
        <v>446519</v>
      </c>
      <c r="N12" s="6" t="n">
        <v>451472</v>
      </c>
      <c r="O12" s="6" t="n">
        <v>456280</v>
      </c>
      <c r="P12" s="6" t="n">
        <v>461081</v>
      </c>
      <c r="Q12" s="6" t="n">
        <v>466036</v>
      </c>
      <c r="R12" s="6" t="n">
        <v>471185</v>
      </c>
      <c r="S12" s="6" t="n">
        <v>477231</v>
      </c>
      <c r="T12" s="6" t="n">
        <v>483455</v>
      </c>
      <c r="U12" s="6" t="n">
        <v>489662</v>
      </c>
      <c r="V12" s="6" t="n">
        <v>495674</v>
      </c>
      <c r="W12" s="6" t="n">
        <v>500528</v>
      </c>
      <c r="X12" s="6" t="n">
        <v>504711</v>
      </c>
      <c r="Y12" s="6" t="n">
        <v>508672</v>
      </c>
      <c r="Z12" s="6" t="n">
        <v>512497</v>
      </c>
      <c r="AB12" s="7" t="n">
        <f aca="false">SUM(D12:Z12)/23</f>
        <v>457863.826086957</v>
      </c>
      <c r="AD12" s="8"/>
    </row>
    <row r="13" customFormat="false" ht="13.8" hidden="false" customHeight="false" outlineLevel="0" collapsed="false">
      <c r="A13" s="1" t="s">
        <v>24</v>
      </c>
      <c r="B13" s="5" t="s">
        <v>25</v>
      </c>
      <c r="C13" s="5"/>
      <c r="D13" s="6" t="n">
        <v>469761</v>
      </c>
      <c r="E13" s="6" t="n">
        <v>473345</v>
      </c>
      <c r="F13" s="6" t="n">
        <v>477005</v>
      </c>
      <c r="G13" s="6" t="n">
        <v>480641</v>
      </c>
      <c r="H13" s="6" t="n">
        <v>484362</v>
      </c>
      <c r="I13" s="6" t="n">
        <v>488299</v>
      </c>
      <c r="J13" s="6" t="n">
        <v>492560</v>
      </c>
      <c r="K13" s="6" t="n">
        <v>497110</v>
      </c>
      <c r="L13" s="6" t="n">
        <v>501781</v>
      </c>
      <c r="M13" s="6" t="n">
        <v>506554</v>
      </c>
      <c r="N13" s="6" t="n">
        <v>511182</v>
      </c>
      <c r="O13" s="6" t="n">
        <v>515887</v>
      </c>
      <c r="P13" s="6" t="n">
        <v>520789</v>
      </c>
      <c r="Q13" s="6" t="n">
        <v>526121</v>
      </c>
      <c r="R13" s="6" t="n">
        <v>531564</v>
      </c>
      <c r="S13" s="6" t="n">
        <v>537574</v>
      </c>
      <c r="T13" s="6" t="n">
        <v>543871</v>
      </c>
      <c r="U13" s="6" t="n">
        <v>550096</v>
      </c>
      <c r="V13" s="6" t="n">
        <v>556100</v>
      </c>
      <c r="W13" s="6" t="n">
        <v>561122</v>
      </c>
      <c r="X13" s="6" t="n">
        <v>565612</v>
      </c>
      <c r="Y13" s="6" t="n">
        <v>569896</v>
      </c>
      <c r="Z13" s="6" t="n">
        <v>574048</v>
      </c>
      <c r="AB13" s="7" t="n">
        <f aca="false">SUM(D13:Z13)/23</f>
        <v>518925.217391304</v>
      </c>
      <c r="AD13" s="8"/>
    </row>
    <row r="14" customFormat="false" ht="13.8" hidden="false" customHeight="false" outlineLevel="0" collapsed="false">
      <c r="A14" s="1" t="s">
        <v>26</v>
      </c>
      <c r="B14" s="5" t="s">
        <v>27</v>
      </c>
      <c r="C14" s="5"/>
      <c r="D14" s="6" t="n">
        <v>727929</v>
      </c>
      <c r="E14" s="6" t="n">
        <v>732450</v>
      </c>
      <c r="F14" s="6" t="n">
        <v>736774</v>
      </c>
      <c r="G14" s="6" t="n">
        <v>740994</v>
      </c>
      <c r="H14" s="6" t="n">
        <v>745271</v>
      </c>
      <c r="I14" s="6" t="n">
        <v>749975</v>
      </c>
      <c r="J14" s="6" t="n">
        <v>754800</v>
      </c>
      <c r="K14" s="6" t="n">
        <v>759919</v>
      </c>
      <c r="L14" s="6" t="n">
        <v>765196</v>
      </c>
      <c r="M14" s="6" t="n">
        <v>770684</v>
      </c>
      <c r="N14" s="6" t="n">
        <v>775688</v>
      </c>
      <c r="O14" s="6" t="n">
        <v>780122</v>
      </c>
      <c r="P14" s="6" t="n">
        <v>784628</v>
      </c>
      <c r="Q14" s="6" t="n">
        <v>789265</v>
      </c>
      <c r="R14" s="6" t="n">
        <v>793798</v>
      </c>
      <c r="S14" s="6" t="n">
        <v>797987</v>
      </c>
      <c r="T14" s="6" t="n">
        <v>802348</v>
      </c>
      <c r="U14" s="6" t="n">
        <v>806588</v>
      </c>
      <c r="V14" s="6" t="n">
        <v>810577</v>
      </c>
      <c r="W14" s="6" t="n">
        <v>813546</v>
      </c>
      <c r="X14" s="6" t="n">
        <v>815898</v>
      </c>
      <c r="Y14" s="6" t="n">
        <v>818002</v>
      </c>
      <c r="Z14" s="6" t="n">
        <v>819922</v>
      </c>
      <c r="AB14" s="7" t="n">
        <f aca="false">SUM(D14:Z14)/23</f>
        <v>777928.739130435</v>
      </c>
      <c r="AD14" s="8"/>
    </row>
    <row r="15" customFormat="false" ht="13.8" hidden="false" customHeight="false" outlineLevel="0" collapsed="false">
      <c r="A15" s="1" t="s">
        <v>28</v>
      </c>
      <c r="B15" s="5" t="s">
        <v>29</v>
      </c>
      <c r="C15" s="5"/>
      <c r="D15" s="6" t="n">
        <v>225556</v>
      </c>
      <c r="E15" s="6" t="n">
        <v>226499</v>
      </c>
      <c r="F15" s="6" t="n">
        <v>227462</v>
      </c>
      <c r="G15" s="6" t="n">
        <v>228446</v>
      </c>
      <c r="H15" s="6" t="n">
        <v>229475</v>
      </c>
      <c r="I15" s="6" t="n">
        <v>230612</v>
      </c>
      <c r="J15" s="6" t="n">
        <v>231841</v>
      </c>
      <c r="K15" s="6" t="n">
        <v>233164</v>
      </c>
      <c r="L15" s="6" t="n">
        <v>234462</v>
      </c>
      <c r="M15" s="6" t="n">
        <v>235816</v>
      </c>
      <c r="N15" s="6" t="n">
        <v>237071</v>
      </c>
      <c r="O15" s="6" t="n">
        <v>238150</v>
      </c>
      <c r="P15" s="6" t="n">
        <v>239346</v>
      </c>
      <c r="Q15" s="6" t="n">
        <v>240629</v>
      </c>
      <c r="R15" s="6" t="n">
        <v>241940</v>
      </c>
      <c r="S15" s="6" t="n">
        <v>243387</v>
      </c>
      <c r="T15" s="6" t="n">
        <v>244933</v>
      </c>
      <c r="U15" s="6" t="n">
        <v>246415</v>
      </c>
      <c r="V15" s="6" t="n">
        <v>247792</v>
      </c>
      <c r="W15" s="6" t="n">
        <v>248859</v>
      </c>
      <c r="X15" s="6" t="n">
        <v>249724</v>
      </c>
      <c r="Y15" s="6" t="n">
        <v>250500</v>
      </c>
      <c r="Z15" s="6" t="n">
        <v>251232</v>
      </c>
      <c r="AB15" s="7" t="n">
        <f aca="false">SUM(D15:Z15)/23</f>
        <v>238404.826086957</v>
      </c>
      <c r="AD15" s="8"/>
    </row>
    <row r="16" customFormat="false" ht="13.8" hidden="false" customHeight="false" outlineLevel="0" collapsed="false">
      <c r="A16" s="1" t="s">
        <v>30</v>
      </c>
      <c r="B16" s="5" t="s">
        <v>31</v>
      </c>
      <c r="C16" s="5"/>
      <c r="D16" s="6" t="n">
        <v>448251</v>
      </c>
      <c r="E16" s="6" t="n">
        <v>450196</v>
      </c>
      <c r="F16" s="6" t="n">
        <v>452233</v>
      </c>
      <c r="G16" s="6" t="n">
        <v>454272</v>
      </c>
      <c r="H16" s="6" t="n">
        <v>456388</v>
      </c>
      <c r="I16" s="6" t="n">
        <v>458728</v>
      </c>
      <c r="J16" s="6" t="n">
        <v>461267</v>
      </c>
      <c r="K16" s="6" t="n">
        <v>464104</v>
      </c>
      <c r="L16" s="6" t="n">
        <v>466851</v>
      </c>
      <c r="M16" s="6" t="n">
        <v>469807</v>
      </c>
      <c r="N16" s="6" t="n">
        <v>472775</v>
      </c>
      <c r="O16" s="6" t="n">
        <v>475331</v>
      </c>
      <c r="P16" s="6" t="n">
        <v>477989</v>
      </c>
      <c r="Q16" s="6" t="n">
        <v>480939</v>
      </c>
      <c r="R16" s="6" t="n">
        <v>483797</v>
      </c>
      <c r="S16" s="6" t="n">
        <v>486792</v>
      </c>
      <c r="T16" s="6" t="n">
        <v>489833</v>
      </c>
      <c r="U16" s="6" t="n">
        <v>492834</v>
      </c>
      <c r="V16" s="6" t="n">
        <v>495735</v>
      </c>
      <c r="W16" s="6" t="n">
        <v>498048</v>
      </c>
      <c r="X16" s="6" t="n">
        <v>499978</v>
      </c>
      <c r="Y16" s="6" t="n">
        <v>501761</v>
      </c>
      <c r="Z16" s="6" t="n">
        <v>503438</v>
      </c>
      <c r="AB16" s="7" t="n">
        <f aca="false">SUM(D16:Z16)/23</f>
        <v>475710.739130435</v>
      </c>
      <c r="AD16" s="8"/>
    </row>
    <row r="17" customFormat="false" ht="13.8" hidden="false" customHeight="false" outlineLevel="0" collapsed="false">
      <c r="A17" s="1" t="s">
        <v>32</v>
      </c>
      <c r="B17" s="5" t="s">
        <v>33</v>
      </c>
      <c r="C17" s="5"/>
      <c r="D17" s="6" t="n">
        <v>184591</v>
      </c>
      <c r="E17" s="6" t="n">
        <v>185003</v>
      </c>
      <c r="F17" s="6" t="n">
        <v>185346</v>
      </c>
      <c r="G17" s="6" t="n">
        <v>185786</v>
      </c>
      <c r="H17" s="6" t="n">
        <v>186276</v>
      </c>
      <c r="I17" s="6" t="n">
        <v>186869</v>
      </c>
      <c r="J17" s="6" t="n">
        <v>187580</v>
      </c>
      <c r="K17" s="6" t="n">
        <v>188382</v>
      </c>
      <c r="L17" s="6" t="n">
        <v>189316</v>
      </c>
      <c r="M17" s="6" t="n">
        <v>190296</v>
      </c>
      <c r="N17" s="6" t="n">
        <v>191266</v>
      </c>
      <c r="O17" s="6" t="n">
        <v>192128</v>
      </c>
      <c r="P17" s="6" t="n">
        <v>193035</v>
      </c>
      <c r="Q17" s="6" t="n">
        <v>193898</v>
      </c>
      <c r="R17" s="6" t="n">
        <v>194861</v>
      </c>
      <c r="S17" s="6" t="n">
        <v>195813</v>
      </c>
      <c r="T17" s="6" t="n">
        <v>196876</v>
      </c>
      <c r="U17" s="6" t="n">
        <v>197926</v>
      </c>
      <c r="V17" s="6" t="n">
        <v>198915</v>
      </c>
      <c r="W17" s="6" t="n">
        <v>199687</v>
      </c>
      <c r="X17" s="6" t="n">
        <v>200335</v>
      </c>
      <c r="Y17" s="6" t="n">
        <v>200948</v>
      </c>
      <c r="Z17" s="6" t="n">
        <v>201540</v>
      </c>
      <c r="AB17" s="7" t="n">
        <f aca="false">SUM(D17:Z17)/23</f>
        <v>192464.043478261</v>
      </c>
      <c r="AD17" s="8"/>
    </row>
    <row r="18" customFormat="false" ht="13.8" hidden="false" customHeight="false" outlineLevel="0" collapsed="false">
      <c r="A18" s="1" t="s">
        <v>34</v>
      </c>
      <c r="B18" s="5" t="s">
        <v>35</v>
      </c>
      <c r="C18" s="5"/>
      <c r="D18" s="6" t="n">
        <v>372709</v>
      </c>
      <c r="E18" s="6" t="n">
        <v>377134</v>
      </c>
      <c r="F18" s="6" t="n">
        <v>381439</v>
      </c>
      <c r="G18" s="6" t="n">
        <v>385629</v>
      </c>
      <c r="H18" s="6" t="n">
        <v>389924</v>
      </c>
      <c r="I18" s="6" t="n">
        <v>394093</v>
      </c>
      <c r="J18" s="6" t="n">
        <v>398626</v>
      </c>
      <c r="K18" s="6" t="n">
        <v>403287</v>
      </c>
      <c r="L18" s="6" t="n">
        <v>407661</v>
      </c>
      <c r="M18" s="6" t="n">
        <v>412004</v>
      </c>
      <c r="N18" s="6" t="n">
        <v>416054</v>
      </c>
      <c r="O18" s="6" t="n">
        <v>419602</v>
      </c>
      <c r="P18" s="6" t="n">
        <v>423047</v>
      </c>
      <c r="Q18" s="6" t="n">
        <v>426454</v>
      </c>
      <c r="R18" s="6" t="n">
        <v>429881</v>
      </c>
      <c r="S18" s="6" t="n">
        <v>433259</v>
      </c>
      <c r="T18" s="6" t="n">
        <v>436796</v>
      </c>
      <c r="U18" s="6" t="n">
        <v>440258</v>
      </c>
      <c r="V18" s="6" t="n">
        <v>443617</v>
      </c>
      <c r="W18" s="6" t="n">
        <v>446418</v>
      </c>
      <c r="X18" s="6" t="n">
        <v>448889</v>
      </c>
      <c r="Y18" s="6" t="n">
        <v>451199</v>
      </c>
      <c r="Z18" s="6" t="n">
        <v>453413</v>
      </c>
      <c r="AB18" s="7" t="n">
        <f aca="false">SUM(D18:Z18)/23</f>
        <v>417017.086956522</v>
      </c>
      <c r="AD18" s="8"/>
    </row>
    <row r="19" customFormat="false" ht="13.8" hidden="false" customHeight="false" outlineLevel="0" collapsed="false">
      <c r="A19" s="1" t="s">
        <v>36</v>
      </c>
      <c r="B19" s="5" t="s">
        <v>37</v>
      </c>
      <c r="C19" s="5"/>
      <c r="D19" s="6" t="n">
        <v>47886</v>
      </c>
      <c r="E19" s="6" t="n">
        <v>48267</v>
      </c>
      <c r="F19" s="6" t="n">
        <v>48648</v>
      </c>
      <c r="G19" s="6" t="n">
        <v>49051</v>
      </c>
      <c r="H19" s="6" t="n">
        <v>49425</v>
      </c>
      <c r="I19" s="6" t="n">
        <v>49828</v>
      </c>
      <c r="J19" s="6" t="n">
        <v>50284</v>
      </c>
      <c r="K19" s="6" t="n">
        <v>50784</v>
      </c>
      <c r="L19" s="6" t="n">
        <v>51218</v>
      </c>
      <c r="M19" s="6" t="n">
        <v>51678</v>
      </c>
      <c r="N19" s="6" t="n">
        <v>52043</v>
      </c>
      <c r="O19" s="6" t="n">
        <v>52367</v>
      </c>
      <c r="P19" s="6" t="n">
        <v>52655</v>
      </c>
      <c r="Q19" s="6" t="n">
        <v>52937</v>
      </c>
      <c r="R19" s="6" t="n">
        <v>53200</v>
      </c>
      <c r="S19" s="6" t="n">
        <v>53476</v>
      </c>
      <c r="T19" s="6" t="n">
        <v>53764</v>
      </c>
      <c r="U19" s="6" t="n">
        <v>54038</v>
      </c>
      <c r="V19" s="6" t="n">
        <v>54276</v>
      </c>
      <c r="W19" s="6" t="n">
        <v>54429</v>
      </c>
      <c r="X19" s="6" t="n">
        <v>54524</v>
      </c>
      <c r="Y19" s="6" t="n">
        <v>54592</v>
      </c>
      <c r="Z19" s="6" t="n">
        <v>54651</v>
      </c>
      <c r="AB19" s="7" t="n">
        <f aca="false">SUM(D19:Z19)/23</f>
        <v>51913.9565217391</v>
      </c>
      <c r="AD19" s="8"/>
    </row>
    <row r="20" customFormat="false" ht="13.8" hidden="false" customHeight="false" outlineLevel="0" collapsed="false">
      <c r="A20" s="1" t="s">
        <v>38</v>
      </c>
      <c r="B20" s="5" t="s">
        <v>39</v>
      </c>
      <c r="C20" s="5"/>
      <c r="D20" s="6" t="n">
        <v>77631</v>
      </c>
      <c r="E20" s="6" t="n">
        <v>78043</v>
      </c>
      <c r="F20" s="6" t="n">
        <v>78461</v>
      </c>
      <c r="G20" s="6" t="n">
        <v>78915</v>
      </c>
      <c r="H20" s="6" t="n">
        <v>79419</v>
      </c>
      <c r="I20" s="6" t="n">
        <v>79957</v>
      </c>
      <c r="J20" s="6" t="n">
        <v>80593</v>
      </c>
      <c r="K20" s="6" t="n">
        <v>81240</v>
      </c>
      <c r="L20" s="6" t="n">
        <v>81909</v>
      </c>
      <c r="M20" s="6" t="n">
        <v>82636</v>
      </c>
      <c r="N20" s="6" t="n">
        <v>83357</v>
      </c>
      <c r="O20" s="6" t="n">
        <v>83995</v>
      </c>
      <c r="P20" s="6" t="n">
        <v>84675</v>
      </c>
      <c r="Q20" s="6" t="n">
        <v>85424</v>
      </c>
      <c r="R20" s="6" t="n">
        <v>86213</v>
      </c>
      <c r="S20" s="6" t="n">
        <v>87126</v>
      </c>
      <c r="T20" s="6" t="n">
        <v>88246</v>
      </c>
      <c r="U20" s="6" t="n">
        <v>89455</v>
      </c>
      <c r="V20" s="6" t="n">
        <v>90675</v>
      </c>
      <c r="W20" s="6" t="n">
        <v>91500</v>
      </c>
      <c r="X20" s="6" t="n">
        <v>92124</v>
      </c>
      <c r="Y20" s="6" t="n">
        <v>92686</v>
      </c>
      <c r="Z20" s="6" t="n">
        <v>93226</v>
      </c>
      <c r="AB20" s="7" t="n">
        <f aca="false">SUM(D20:Z20)/23</f>
        <v>84674.1739130435</v>
      </c>
      <c r="AD20" s="8"/>
    </row>
  </sheetData>
  <mergeCells count="1">
    <mergeCell ref="A1:Z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es-CL</dc:language>
  <cp:lastModifiedBy/>
  <dcterms:modified xsi:type="dcterms:W3CDTF">2025-12-08T14:55:29Z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