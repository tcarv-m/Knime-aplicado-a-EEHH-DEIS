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<sst xmlns="http://schemas.openxmlformats.org/spreadsheetml/2006/main" count="40" uniqueCount="40">
  <si>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Población nacional total, INE (número de personas)</t>
  </si>
  <si>
    <t xml:space="preserve">Reg</t>
  </si>
  <si>
    <t xml:space="preserve">Descripción series</t>
  </si>
  <si>
    <t xml:space="preserve">promedio_01_24</t>
  </si>
  <si>
    <t xml:space="preserve">prom_02_24</t>
  </si>
  <si>
    <t xml:space="preserve">diferencia(%)</t>
  </si>
  <si>
    <t xml:space="preserve">1.</t>
  </si>
  <si>
    <t xml:space="preserve">Población total, INE (número de personas) </t>
  </si>
  <si>
    <t xml:space="preserve">1.1.</t>
  </si>
  <si>
    <t xml:space="preserve">      Región de Arica y Parinacota</t>
  </si>
  <si>
    <t xml:space="preserve">1.2.</t>
  </si>
  <si>
    <t xml:space="preserve">      Región de Tarapacá</t>
  </si>
  <si>
    <t xml:space="preserve">1.3.</t>
  </si>
  <si>
    <t xml:space="preserve">      Región de Antofagasta</t>
  </si>
  <si>
    <t xml:space="preserve">1.4.</t>
  </si>
  <si>
    <t xml:space="preserve">      Región de Atacama</t>
  </si>
  <si>
    <t xml:space="preserve">1.5.</t>
  </si>
  <si>
    <t xml:space="preserve">      Región de Coquimbo</t>
  </si>
  <si>
    <t xml:space="preserve">1.6.</t>
  </si>
  <si>
    <t xml:space="preserve">      Región de Valparaíso</t>
  </si>
  <si>
    <t xml:space="preserve">1.7.</t>
  </si>
  <si>
    <t xml:space="preserve">      Región Metropolitana</t>
  </si>
  <si>
    <t xml:space="preserve">1.8.</t>
  </si>
  <si>
    <t xml:space="preserve">      Región del Libertador General Bernardo O'Higgins</t>
  </si>
  <si>
    <t xml:space="preserve">1.9.</t>
  </si>
  <si>
    <t xml:space="preserve">      Región del Maule</t>
  </si>
  <si>
    <t xml:space="preserve">1.10.</t>
  </si>
  <si>
    <t xml:space="preserve">      Región del Biobío</t>
  </si>
  <si>
    <t xml:space="preserve">1.11.</t>
  </si>
  <si>
    <t xml:space="preserve">      Región de Ñuble</t>
  </si>
  <si>
    <t xml:space="preserve">1.12.</t>
  </si>
  <si>
    <t xml:space="preserve">      Región de La Araucanía</t>
  </si>
  <si>
    <t xml:space="preserve">1.13.</t>
  </si>
  <si>
    <t xml:space="preserve">      Región de Los Ríos</t>
  </si>
  <si>
    <t xml:space="preserve">1.14.</t>
  </si>
  <si>
    <t xml:space="preserve">      Región de Los Lagos</t>
  </si>
  <si>
    <t xml:space="preserve">1.15.</t>
  </si>
  <si>
    <t xml:space="preserve">      Región de Aysén del General Carlos Ibáñez del Campo</t>
  </si>
  <si>
    <t xml:space="preserve">1.16.</t>
  </si>
  <si>
    <t xml:space="preserve">      Región de Magallanes y la Antártica Chilena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</si>
</sst>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"/>
    <numFmt numFmtId="166" formatCode="#,##0.00"/>
    <numFmt numFmtId="167" formatCode="0.000"/>
    <numFmt numFmtId="168" formatCode="0.0000"/>
    <numFmt numFmtId="169" formatCode="&quot;VERDADERO&quot;;&quot;VERDADERO&quot;;&quot;FALSO&quot;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"/>
  <sheetViews>
    <sheetView showFormulas="false" showGridLines="tru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C11" activeCellId="0" sqref="AC11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26" min="3" style="1" width="20"/>
    <col collapsed="false" customWidth="true" hidden="false" outlineLevel="0" max="27" min="27" style="1" width="16.52"/>
    <col collapsed="false" customWidth="true" hidden="false" outlineLevel="0" max="28" min="28" style="1" width="11.43"/>
    <col collapsed="false" customWidth="true" hidden="false" outlineLevel="0" max="29" min="29" style="1" width="19.45"/>
    <col collapsed="false" customWidth="true" hidden="false" outlineLevel="0" max="32" min="32" style="1" width="11.4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8" hidden="false" customHeight="false" outlineLevel="0" collapsed="false"/>
    <row r="3" customFormat="false" ht="15" hidden="false" customHeight="false" outlineLevel="0" collapsed="false">
      <c r="A3" s="2" t="s">
        <v>1</v>
      </c>
      <c r="B3" s="2" t="s">
        <v>2</v>
      </c>
      <c r="C3" s="3" t="n">
        <v>36892</v>
      </c>
      <c r="D3" s="3" t="n">
        <v>37257</v>
      </c>
      <c r="E3" s="3" t="n">
        <v>37622</v>
      </c>
      <c r="F3" s="3" t="n">
        <v>37987</v>
      </c>
      <c r="G3" s="3" t="n">
        <v>38353</v>
      </c>
      <c r="H3" s="3" t="n">
        <v>38718</v>
      </c>
      <c r="I3" s="3" t="n">
        <v>39083</v>
      </c>
      <c r="J3" s="3" t="n">
        <v>39448</v>
      </c>
      <c r="K3" s="3" t="n">
        <v>39814</v>
      </c>
      <c r="L3" s="3" t="n">
        <v>40179</v>
      </c>
      <c r="M3" s="3" t="n">
        <v>40544</v>
      </c>
      <c r="N3" s="3" t="n">
        <v>40909</v>
      </c>
      <c r="O3" s="3" t="n">
        <v>41275</v>
      </c>
      <c r="P3" s="3" t="n">
        <v>41640</v>
      </c>
      <c r="Q3" s="3" t="n">
        <v>42005</v>
      </c>
      <c r="R3" s="3" t="n">
        <v>42370</v>
      </c>
      <c r="S3" s="3" t="n">
        <v>42736</v>
      </c>
      <c r="T3" s="3" t="n">
        <v>43101</v>
      </c>
      <c r="U3" s="3" t="n">
        <v>43466</v>
      </c>
      <c r="V3" s="3" t="n">
        <v>43831</v>
      </c>
      <c r="W3" s="3" t="n">
        <v>44197</v>
      </c>
      <c r="X3" s="3" t="n">
        <v>44562</v>
      </c>
      <c r="Y3" s="3" t="n">
        <v>44927</v>
      </c>
      <c r="Z3" s="3" t="n">
        <v>45292</v>
      </c>
      <c r="AA3" s="4" t="s">
        <v>3</v>
      </c>
      <c r="AB3" s="4" t="s">
        <v>4</v>
      </c>
      <c r="AC3" s="4" t="s">
        <v>5</v>
      </c>
    </row>
    <row r="4" customFormat="false" ht="13.8" hidden="false" customHeight="false" outlineLevel="0" collapsed="false">
      <c r="A4" s="1" t="s">
        <v>6</v>
      </c>
      <c r="B4" s="5" t="s">
        <v>7</v>
      </c>
      <c r="C4" s="6" t="n">
        <v>15520049</v>
      </c>
      <c r="D4" s="6" t="n">
        <v>15691701</v>
      </c>
      <c r="E4" s="6" t="n">
        <v>15856977</v>
      </c>
      <c r="F4" s="6" t="n">
        <v>16022133</v>
      </c>
      <c r="G4" s="6" t="n">
        <v>16183489</v>
      </c>
      <c r="H4" s="6" t="n">
        <v>16347890</v>
      </c>
      <c r="I4" s="6" t="n">
        <v>16517933</v>
      </c>
      <c r="J4" s="6" t="n">
        <v>16697754</v>
      </c>
      <c r="K4" s="6" t="n">
        <v>16881078</v>
      </c>
      <c r="L4" s="6" t="n">
        <v>17063927</v>
      </c>
      <c r="M4" s="6" t="n">
        <v>17254159</v>
      </c>
      <c r="N4" s="6" t="n">
        <v>17443491</v>
      </c>
      <c r="O4" s="6" t="n">
        <v>17611902</v>
      </c>
      <c r="P4" s="6" t="n">
        <v>17787617</v>
      </c>
      <c r="Q4" s="6" t="n">
        <v>17971423</v>
      </c>
      <c r="R4" s="6" t="n">
        <v>18167147</v>
      </c>
      <c r="S4" s="6" t="n">
        <v>18419192</v>
      </c>
      <c r="T4" s="6" t="n">
        <v>18751405</v>
      </c>
      <c r="U4" s="6" t="n">
        <v>19107216</v>
      </c>
      <c r="V4" s="6" t="n">
        <v>19458310</v>
      </c>
      <c r="W4" s="6" t="n">
        <v>19678363</v>
      </c>
      <c r="X4" s="6" t="n">
        <v>19828563</v>
      </c>
      <c r="Y4" s="6" t="n">
        <v>19960889</v>
      </c>
      <c r="Z4" s="6" t="n">
        <v>20086377</v>
      </c>
      <c r="AA4" s="7" t="n">
        <f aca="false">(SUM(C4:Z4)/24)</f>
        <v>17679541.0416667</v>
      </c>
      <c r="AB4" s="4" t="n">
        <f aca="false">(SUM(D4:Z4)/23)</f>
        <v>17773432</v>
      </c>
      <c r="AC4" s="8" t="n">
        <f aca="false">((AB4-AA4)/AB4)*100</f>
        <v>0.528265775193739</v>
      </c>
      <c r="AD4" s="9"/>
    </row>
    <row r="5" customFormat="false" ht="13.8" hidden="false" customHeight="false" outlineLevel="0" collapsed="false">
      <c r="A5" s="1" t="s">
        <v>8</v>
      </c>
      <c r="B5" s="5" t="s">
        <v>9</v>
      </c>
      <c r="C5" s="5"/>
      <c r="D5" s="6" t="n">
        <v>195426</v>
      </c>
      <c r="E5" s="6" t="n">
        <v>197382</v>
      </c>
      <c r="F5" s="6" t="n">
        <v>199548</v>
      </c>
      <c r="G5" s="6" t="n">
        <v>201749</v>
      </c>
      <c r="H5" s="6" t="n">
        <v>204095</v>
      </c>
      <c r="I5" s="6" t="n">
        <v>206494</v>
      </c>
      <c r="J5" s="6" t="n">
        <v>209279</v>
      </c>
      <c r="K5" s="6" t="n">
        <v>212189</v>
      </c>
      <c r="L5" s="6" t="n">
        <v>215208</v>
      </c>
      <c r="M5" s="6" t="n">
        <v>218689</v>
      </c>
      <c r="N5" s="6" t="n">
        <v>222202</v>
      </c>
      <c r="O5" s="6" t="n">
        <v>225025</v>
      </c>
      <c r="P5" s="6" t="n">
        <v>227956</v>
      </c>
      <c r="Q5" s="6" t="n">
        <v>230986</v>
      </c>
      <c r="R5" s="6" t="n">
        <v>233922</v>
      </c>
      <c r="S5" s="6" t="n">
        <v>237082</v>
      </c>
      <c r="T5" s="6" t="n">
        <v>241901</v>
      </c>
      <c r="U5" s="6" t="n">
        <v>247036</v>
      </c>
      <c r="V5" s="6" t="n">
        <v>252110</v>
      </c>
      <c r="W5" s="6" t="n">
        <v>255380</v>
      </c>
      <c r="X5" s="6" t="n">
        <v>257722</v>
      </c>
      <c r="Y5" s="6" t="n">
        <v>259802</v>
      </c>
      <c r="Z5" s="6" t="n">
        <v>261779</v>
      </c>
      <c r="AB5" s="7" t="n">
        <f aca="false">(SUM(D5:Z5)/23)</f>
        <v>226650.52173913</v>
      </c>
      <c r="AC5" s="4"/>
      <c r="AD5" s="9"/>
      <c r="AE5" s="9"/>
      <c r="AF5" s="10"/>
    </row>
    <row r="6" customFormat="false" ht="13.8" hidden="false" customHeight="false" outlineLevel="0" collapsed="false">
      <c r="A6" s="1" t="s">
        <v>10</v>
      </c>
      <c r="B6" s="5" t="s">
        <v>11</v>
      </c>
      <c r="C6" s="5"/>
      <c r="D6" s="6" t="n">
        <v>246265</v>
      </c>
      <c r="E6" s="6" t="n">
        <v>251625</v>
      </c>
      <c r="F6" s="6" t="n">
        <v>257394</v>
      </c>
      <c r="G6" s="6" t="n">
        <v>263141</v>
      </c>
      <c r="H6" s="6" t="n">
        <v>268976</v>
      </c>
      <c r="I6" s="6" t="n">
        <v>275014</v>
      </c>
      <c r="J6" s="6" t="n">
        <v>281334</v>
      </c>
      <c r="K6" s="6" t="n">
        <v>287773</v>
      </c>
      <c r="L6" s="6" t="n">
        <v>294172</v>
      </c>
      <c r="M6" s="6" t="n">
        <v>301143</v>
      </c>
      <c r="N6" s="6" t="n">
        <v>308251</v>
      </c>
      <c r="O6" s="6" t="n">
        <v>314818</v>
      </c>
      <c r="P6" s="6" t="n">
        <v>321678</v>
      </c>
      <c r="Q6" s="6" t="n">
        <v>328417</v>
      </c>
      <c r="R6" s="6" t="n">
        <v>334865</v>
      </c>
      <c r="S6" s="6" t="n">
        <v>342129</v>
      </c>
      <c r="T6" s="6" t="n">
        <v>354940</v>
      </c>
      <c r="U6" s="6" t="n">
        <v>368906</v>
      </c>
      <c r="V6" s="6" t="n">
        <v>382773</v>
      </c>
      <c r="W6" s="6" t="n">
        <v>391165</v>
      </c>
      <c r="X6" s="6" t="n">
        <v>396697</v>
      </c>
      <c r="Y6" s="6" t="n">
        <v>401588</v>
      </c>
      <c r="Z6" s="6" t="n">
        <v>406287</v>
      </c>
      <c r="AB6" s="7" t="n">
        <f aca="false">(SUM(D6:Z6)/23)</f>
        <v>320841.347826087</v>
      </c>
      <c r="AD6" s="9"/>
      <c r="AE6" s="9"/>
    </row>
    <row r="7" customFormat="false" ht="13.8" hidden="false" customHeight="false" outlineLevel="0" collapsed="false">
      <c r="A7" s="1" t="s">
        <v>12</v>
      </c>
      <c r="B7" s="5" t="s">
        <v>13</v>
      </c>
      <c r="C7" s="5"/>
      <c r="D7" s="6" t="n">
        <v>502741</v>
      </c>
      <c r="E7" s="6" t="n">
        <v>510045</v>
      </c>
      <c r="F7" s="6" t="n">
        <v>517333</v>
      </c>
      <c r="G7" s="6" t="n">
        <v>524422</v>
      </c>
      <c r="H7" s="6" t="n">
        <v>531553</v>
      </c>
      <c r="I7" s="6" t="n">
        <v>539071</v>
      </c>
      <c r="J7" s="6" t="n">
        <v>546939</v>
      </c>
      <c r="K7" s="6" t="n">
        <v>554646</v>
      </c>
      <c r="L7" s="6" t="n">
        <v>562331</v>
      </c>
      <c r="M7" s="6" t="n">
        <v>570307</v>
      </c>
      <c r="N7" s="6" t="n">
        <v>578137</v>
      </c>
      <c r="O7" s="6" t="n">
        <v>586685</v>
      </c>
      <c r="P7" s="6" t="n">
        <v>596155</v>
      </c>
      <c r="Q7" s="6" t="n">
        <v>604877</v>
      </c>
      <c r="R7" s="6" t="n">
        <v>613640</v>
      </c>
      <c r="S7" s="6" t="n">
        <v>623851</v>
      </c>
      <c r="T7" s="6" t="n">
        <v>645022</v>
      </c>
      <c r="U7" s="6" t="n">
        <v>668563</v>
      </c>
      <c r="V7" s="6" t="n">
        <v>691854</v>
      </c>
      <c r="W7" s="6" t="n">
        <v>703746</v>
      </c>
      <c r="X7" s="6" t="n">
        <v>709637</v>
      </c>
      <c r="Y7" s="6" t="n">
        <v>714142</v>
      </c>
      <c r="Z7" s="6" t="n">
        <v>718232</v>
      </c>
      <c r="AB7" s="7" t="n">
        <f aca="false">(SUM(D7:Z7)/23)</f>
        <v>600605.608695652</v>
      </c>
      <c r="AD7" s="9"/>
      <c r="AE7" s="9"/>
    </row>
    <row r="8" customFormat="false" ht="13.8" hidden="false" customHeight="false" outlineLevel="0" collapsed="false">
      <c r="A8" s="1" t="s">
        <v>14</v>
      </c>
      <c r="B8" s="5" t="s">
        <v>15</v>
      </c>
      <c r="C8" s="5"/>
      <c r="D8" s="6" t="n">
        <v>263924</v>
      </c>
      <c r="E8" s="6" t="n">
        <v>266544</v>
      </c>
      <c r="F8" s="6" t="n">
        <v>268999</v>
      </c>
      <c r="G8" s="6" t="n">
        <v>271434</v>
      </c>
      <c r="H8" s="6" t="n">
        <v>274064</v>
      </c>
      <c r="I8" s="6" t="n">
        <v>276858</v>
      </c>
      <c r="J8" s="6" t="n">
        <v>279750</v>
      </c>
      <c r="K8" s="6" t="n">
        <v>282769</v>
      </c>
      <c r="L8" s="6" t="n">
        <v>285860</v>
      </c>
      <c r="M8" s="6" t="n">
        <v>289014</v>
      </c>
      <c r="N8" s="6" t="n">
        <v>291941</v>
      </c>
      <c r="O8" s="6" t="n">
        <v>294709</v>
      </c>
      <c r="P8" s="6" t="n">
        <v>297546</v>
      </c>
      <c r="Q8" s="6" t="n">
        <v>300065</v>
      </c>
      <c r="R8" s="6" t="n">
        <v>302402</v>
      </c>
      <c r="S8" s="6" t="n">
        <v>304580</v>
      </c>
      <c r="T8" s="6" t="n">
        <v>307835</v>
      </c>
      <c r="U8" s="6" t="n">
        <v>311307</v>
      </c>
      <c r="V8" s="6" t="n">
        <v>314709</v>
      </c>
      <c r="W8" s="6" t="n">
        <v>316737</v>
      </c>
      <c r="X8" s="6" t="n">
        <v>318004</v>
      </c>
      <c r="Y8" s="6" t="n">
        <v>319048</v>
      </c>
      <c r="Z8" s="6" t="n">
        <v>319992</v>
      </c>
      <c r="AB8" s="7" t="n">
        <f aca="false">(SUM(D8:Z8)/23)</f>
        <v>293830.043478261</v>
      </c>
      <c r="AD8" s="9"/>
      <c r="AE8" s="9"/>
    </row>
    <row r="9" customFormat="false" ht="13.8" hidden="false" customHeight="false" outlineLevel="0" collapsed="false">
      <c r="A9" s="1" t="s">
        <v>16</v>
      </c>
      <c r="B9" s="5" t="s">
        <v>17</v>
      </c>
      <c r="C9" s="5"/>
      <c r="D9" s="6" t="n">
        <v>628489</v>
      </c>
      <c r="E9" s="6" t="n">
        <v>637313</v>
      </c>
      <c r="F9" s="6" t="n">
        <v>646251</v>
      </c>
      <c r="G9" s="6" t="n">
        <v>655329</v>
      </c>
      <c r="H9" s="6" t="n">
        <v>664731</v>
      </c>
      <c r="I9" s="6" t="n">
        <v>674245</v>
      </c>
      <c r="J9" s="6" t="n">
        <v>684510</v>
      </c>
      <c r="K9" s="6" t="n">
        <v>695510</v>
      </c>
      <c r="L9" s="6" t="n">
        <v>706914</v>
      </c>
      <c r="M9" s="6" t="n">
        <v>718763</v>
      </c>
      <c r="N9" s="6" t="n">
        <v>730943</v>
      </c>
      <c r="O9" s="6" t="n">
        <v>743026</v>
      </c>
      <c r="P9" s="6" t="n">
        <v>755432</v>
      </c>
      <c r="Q9" s="6" t="n">
        <v>768087</v>
      </c>
      <c r="R9" s="6" t="n">
        <v>780310</v>
      </c>
      <c r="S9" s="6" t="n">
        <v>793049</v>
      </c>
      <c r="T9" s="6" t="n">
        <v>807213</v>
      </c>
      <c r="U9" s="6" t="n">
        <v>821726</v>
      </c>
      <c r="V9" s="6" t="n">
        <v>836096</v>
      </c>
      <c r="W9" s="6" t="n">
        <v>848079</v>
      </c>
      <c r="X9" s="6" t="n">
        <v>858769</v>
      </c>
      <c r="Y9" s="6" t="n">
        <v>869103</v>
      </c>
      <c r="Z9" s="6" t="n">
        <v>879267</v>
      </c>
      <c r="AB9" s="7" t="n">
        <f aca="false">(SUM(D9:Z9)/23)</f>
        <v>747963.260869565</v>
      </c>
      <c r="AD9" s="9"/>
      <c r="AE9" s="9"/>
    </row>
    <row r="10" customFormat="false" ht="13.8" hidden="false" customHeight="false" outlineLevel="0" collapsed="false">
      <c r="A10" s="1" t="s">
        <v>18</v>
      </c>
      <c r="B10" s="5" t="s">
        <v>19</v>
      </c>
      <c r="C10" s="5"/>
      <c r="D10" s="6" t="n">
        <v>1597346</v>
      </c>
      <c r="E10" s="6" t="n">
        <v>1615876</v>
      </c>
      <c r="F10" s="6" t="n">
        <v>1634045</v>
      </c>
      <c r="G10" s="6" t="n">
        <v>1651904</v>
      </c>
      <c r="H10" s="6" t="n">
        <v>1669839</v>
      </c>
      <c r="I10" s="6" t="n">
        <v>1688072</v>
      </c>
      <c r="J10" s="6" t="n">
        <v>1707196</v>
      </c>
      <c r="K10" s="6" t="n">
        <v>1726803</v>
      </c>
      <c r="L10" s="6" t="n">
        <v>1746537</v>
      </c>
      <c r="M10" s="6" t="n">
        <v>1766558</v>
      </c>
      <c r="N10" s="6" t="n">
        <v>1787099</v>
      </c>
      <c r="O10" s="6" t="n">
        <v>1805775</v>
      </c>
      <c r="P10" s="6" t="n">
        <v>1824842</v>
      </c>
      <c r="Q10" s="6" t="n">
        <v>1844609</v>
      </c>
      <c r="R10" s="6" t="n">
        <v>1864129</v>
      </c>
      <c r="S10" s="6" t="n">
        <v>1885948</v>
      </c>
      <c r="T10" s="6" t="n">
        <v>1910385</v>
      </c>
      <c r="U10" s="6" t="n">
        <v>1935455</v>
      </c>
      <c r="V10" s="6" t="n">
        <v>1960170</v>
      </c>
      <c r="W10" s="6" t="n">
        <v>1979373</v>
      </c>
      <c r="X10" s="6" t="n">
        <v>1995538</v>
      </c>
      <c r="Y10" s="6" t="n">
        <v>2010849</v>
      </c>
      <c r="Z10" s="6" t="n">
        <v>2025693</v>
      </c>
      <c r="AB10" s="7" t="n">
        <f aca="false">(SUM(D10:Z10)/23)</f>
        <v>1810175.69565217</v>
      </c>
      <c r="AD10" s="9"/>
      <c r="AE10" s="9"/>
    </row>
    <row r="11" customFormat="false" ht="13.8" hidden="false" customHeight="false" outlineLevel="0" collapsed="false">
      <c r="A11" s="1" t="s">
        <v>20</v>
      </c>
      <c r="B11" s="5" t="s">
        <v>21</v>
      </c>
      <c r="C11" s="5"/>
      <c r="D11" s="6" t="n">
        <v>6305647</v>
      </c>
      <c r="E11" s="6" t="n">
        <v>6379768</v>
      </c>
      <c r="F11" s="6" t="n">
        <v>6453961</v>
      </c>
      <c r="G11" s="6" t="n">
        <v>6525158</v>
      </c>
      <c r="H11" s="6" t="n">
        <v>6597698</v>
      </c>
      <c r="I11" s="6" t="n">
        <v>6672285</v>
      </c>
      <c r="J11" s="6" t="n">
        <v>6750464</v>
      </c>
      <c r="K11" s="6" t="n">
        <v>6827896</v>
      </c>
      <c r="L11" s="6" t="n">
        <v>6904143</v>
      </c>
      <c r="M11" s="6" t="n">
        <v>6984240</v>
      </c>
      <c r="N11" s="6" t="n">
        <v>7065046</v>
      </c>
      <c r="O11" s="6" t="n">
        <v>7131650</v>
      </c>
      <c r="P11" s="6" t="n">
        <v>7202595</v>
      </c>
      <c r="Q11" s="6" t="n">
        <v>7279754</v>
      </c>
      <c r="R11" s="6" t="n">
        <v>7369532</v>
      </c>
      <c r="S11" s="6" t="n">
        <v>7508690</v>
      </c>
      <c r="T11" s="6" t="n">
        <v>7702891</v>
      </c>
      <c r="U11" s="6" t="n">
        <v>7915199</v>
      </c>
      <c r="V11" s="6" t="n">
        <v>8125072</v>
      </c>
      <c r="W11" s="6" t="n">
        <v>8242459</v>
      </c>
      <c r="X11" s="6" t="n">
        <v>8310984</v>
      </c>
      <c r="Y11" s="6" t="n">
        <v>8367790</v>
      </c>
      <c r="Z11" s="6" t="n">
        <v>8420729</v>
      </c>
      <c r="AB11" s="7" t="n">
        <f aca="false">(SUM(D11:Z11)/23)</f>
        <v>7262767.43478261</v>
      </c>
      <c r="AD11" s="9"/>
      <c r="AE11" s="9"/>
    </row>
    <row r="12" customFormat="false" ht="13.8" hidden="false" customHeight="false" outlineLevel="0" collapsed="false">
      <c r="A12" s="1" t="s">
        <v>22</v>
      </c>
      <c r="B12" s="5" t="s">
        <v>23</v>
      </c>
      <c r="C12" s="5"/>
      <c r="D12" s="6" t="n">
        <v>808184</v>
      </c>
      <c r="E12" s="6" t="n">
        <v>817011</v>
      </c>
      <c r="F12" s="6" t="n">
        <v>825816</v>
      </c>
      <c r="G12" s="6" t="n">
        <v>834493</v>
      </c>
      <c r="H12" s="6" t="n">
        <v>843131</v>
      </c>
      <c r="I12" s="6" t="n">
        <v>852115</v>
      </c>
      <c r="J12" s="6" t="n">
        <v>861829</v>
      </c>
      <c r="K12" s="6" t="n">
        <v>871847</v>
      </c>
      <c r="L12" s="6" t="n">
        <v>881986</v>
      </c>
      <c r="M12" s="6" t="n">
        <v>892165</v>
      </c>
      <c r="N12" s="6" t="n">
        <v>902274</v>
      </c>
      <c r="O12" s="6" t="n">
        <v>912070</v>
      </c>
      <c r="P12" s="6" t="n">
        <v>921886</v>
      </c>
      <c r="Q12" s="6" t="n">
        <v>931982</v>
      </c>
      <c r="R12" s="6" t="n">
        <v>942520</v>
      </c>
      <c r="S12" s="6" t="n">
        <v>954279</v>
      </c>
      <c r="T12" s="6" t="n">
        <v>966486</v>
      </c>
      <c r="U12" s="6" t="n">
        <v>978868</v>
      </c>
      <c r="V12" s="6" t="n">
        <v>991063</v>
      </c>
      <c r="W12" s="6" t="n">
        <v>1000959</v>
      </c>
      <c r="X12" s="6" t="n">
        <v>1009552</v>
      </c>
      <c r="Y12" s="6" t="n">
        <v>1017701</v>
      </c>
      <c r="Z12" s="6" t="n">
        <v>1025586</v>
      </c>
      <c r="AB12" s="7" t="n">
        <f aca="false">(SUM(D12:Z12)/23)</f>
        <v>914947.956521739</v>
      </c>
      <c r="AD12" s="9"/>
      <c r="AE12" s="9"/>
    </row>
    <row r="13" customFormat="false" ht="13.8" hidden="false" customHeight="false" outlineLevel="0" collapsed="false">
      <c r="A13" s="1" t="s">
        <v>24</v>
      </c>
      <c r="B13" s="5" t="s">
        <v>25</v>
      </c>
      <c r="C13" s="5"/>
      <c r="D13" s="6" t="n">
        <v>943174</v>
      </c>
      <c r="E13" s="6" t="n">
        <v>951348</v>
      </c>
      <c r="F13" s="6" t="n">
        <v>959581</v>
      </c>
      <c r="G13" s="6" t="n">
        <v>967638</v>
      </c>
      <c r="H13" s="6" t="n">
        <v>975876</v>
      </c>
      <c r="I13" s="6" t="n">
        <v>984607</v>
      </c>
      <c r="J13" s="6" t="n">
        <v>994027</v>
      </c>
      <c r="K13" s="6" t="n">
        <v>1004039</v>
      </c>
      <c r="L13" s="6" t="n">
        <v>1014309</v>
      </c>
      <c r="M13" s="6" t="n">
        <v>1024845</v>
      </c>
      <c r="N13" s="6" t="n">
        <v>1035111</v>
      </c>
      <c r="O13" s="6" t="n">
        <v>1045513</v>
      </c>
      <c r="P13" s="6" t="n">
        <v>1056331</v>
      </c>
      <c r="Q13" s="6" t="n">
        <v>1067995</v>
      </c>
      <c r="R13" s="6" t="n">
        <v>1079855</v>
      </c>
      <c r="S13" s="6" t="n">
        <v>1092575</v>
      </c>
      <c r="T13" s="6" t="n">
        <v>1105731</v>
      </c>
      <c r="U13" s="6" t="n">
        <v>1118947</v>
      </c>
      <c r="V13" s="6" t="n">
        <v>1131939</v>
      </c>
      <c r="W13" s="6" t="n">
        <v>1143012</v>
      </c>
      <c r="X13" s="6" t="n">
        <v>1153043</v>
      </c>
      <c r="Y13" s="6" t="n">
        <v>1162641</v>
      </c>
      <c r="Z13" s="6" t="n">
        <v>1171982</v>
      </c>
      <c r="AB13" s="7" t="n">
        <f aca="false">(SUM(D13:Z13)/23)</f>
        <v>1051483.43478261</v>
      </c>
      <c r="AD13" s="9"/>
      <c r="AE13" s="9"/>
    </row>
    <row r="14" customFormat="false" ht="13.8" hidden="false" customHeight="false" outlineLevel="0" collapsed="false">
      <c r="A14" s="1" t="s">
        <v>26</v>
      </c>
      <c r="B14" s="5" t="s">
        <v>27</v>
      </c>
      <c r="C14" s="5"/>
      <c r="D14" s="6" t="n">
        <v>1483036</v>
      </c>
      <c r="E14" s="6" t="n">
        <v>1493218</v>
      </c>
      <c r="F14" s="6" t="n">
        <v>1502937</v>
      </c>
      <c r="G14" s="6" t="n">
        <v>1512375</v>
      </c>
      <c r="H14" s="6" t="n">
        <v>1521868</v>
      </c>
      <c r="I14" s="6" t="n">
        <v>1532144</v>
      </c>
      <c r="J14" s="6" t="n">
        <v>1542605</v>
      </c>
      <c r="K14" s="6" t="n">
        <v>1553598</v>
      </c>
      <c r="L14" s="6" t="n">
        <v>1564894</v>
      </c>
      <c r="M14" s="6" t="n">
        <v>1576632</v>
      </c>
      <c r="N14" s="6" t="n">
        <v>1587457</v>
      </c>
      <c r="O14" s="6" t="n">
        <v>1597164</v>
      </c>
      <c r="P14" s="6" t="n">
        <v>1607016</v>
      </c>
      <c r="Q14" s="6" t="n">
        <v>1617128</v>
      </c>
      <c r="R14" s="6" t="n">
        <v>1627020</v>
      </c>
      <c r="S14" s="6" t="n">
        <v>1636209</v>
      </c>
      <c r="T14" s="6" t="n">
        <v>1645460</v>
      </c>
      <c r="U14" s="6" t="n">
        <v>1654744</v>
      </c>
      <c r="V14" s="6" t="n">
        <v>1663696</v>
      </c>
      <c r="W14" s="6" t="n">
        <v>1670590</v>
      </c>
      <c r="X14" s="6" t="n">
        <v>1676269</v>
      </c>
      <c r="Y14" s="6" t="n">
        <v>1681430</v>
      </c>
      <c r="Z14" s="6" t="n">
        <v>1686225</v>
      </c>
      <c r="AB14" s="7" t="n">
        <f aca="false">(SUM(D14:Z14)/23)</f>
        <v>1592770.2173913</v>
      </c>
      <c r="AD14" s="9"/>
      <c r="AE14" s="9"/>
    </row>
    <row r="15" customFormat="false" ht="13.8" hidden="false" customHeight="false" outlineLevel="0" collapsed="false">
      <c r="A15" s="1" t="s">
        <v>28</v>
      </c>
      <c r="B15" s="5" t="s">
        <v>29</v>
      </c>
      <c r="C15" s="5"/>
      <c r="D15" s="6" t="n">
        <v>455240</v>
      </c>
      <c r="E15" s="6" t="n">
        <v>457588</v>
      </c>
      <c r="F15" s="6" t="n">
        <v>460020</v>
      </c>
      <c r="G15" s="6" t="n">
        <v>462532</v>
      </c>
      <c r="H15" s="6" t="n">
        <v>465154</v>
      </c>
      <c r="I15" s="6" t="n">
        <v>468014</v>
      </c>
      <c r="J15" s="6" t="n">
        <v>471037</v>
      </c>
      <c r="K15" s="6" t="n">
        <v>474282</v>
      </c>
      <c r="L15" s="6" t="n">
        <v>477509</v>
      </c>
      <c r="M15" s="6" t="n">
        <v>480905</v>
      </c>
      <c r="N15" s="6" t="n">
        <v>484129</v>
      </c>
      <c r="O15" s="6" t="n">
        <v>487019</v>
      </c>
      <c r="P15" s="6" t="n">
        <v>490153</v>
      </c>
      <c r="Q15" s="6" t="n">
        <v>493464</v>
      </c>
      <c r="R15" s="6" t="n">
        <v>496870</v>
      </c>
      <c r="S15" s="6" t="n">
        <v>500517</v>
      </c>
      <c r="T15" s="6" t="n">
        <v>504248</v>
      </c>
      <c r="U15" s="6" t="n">
        <v>507959</v>
      </c>
      <c r="V15" s="6" t="n">
        <v>511551</v>
      </c>
      <c r="W15" s="6" t="n">
        <v>514508</v>
      </c>
      <c r="X15" s="6" t="n">
        <v>517060</v>
      </c>
      <c r="Y15" s="6" t="n">
        <v>519437</v>
      </c>
      <c r="Z15" s="6" t="n">
        <v>521711</v>
      </c>
      <c r="AB15" s="7" t="n">
        <f aca="false">(SUM(D15:Z15)/23)</f>
        <v>487865.52173913</v>
      </c>
      <c r="AD15" s="9"/>
      <c r="AE15" s="9"/>
    </row>
    <row r="16" customFormat="false" ht="13.8" hidden="false" customHeight="false" outlineLevel="0" collapsed="false">
      <c r="A16" s="1" t="s">
        <v>30</v>
      </c>
      <c r="B16" s="5" t="s">
        <v>31</v>
      </c>
      <c r="C16" s="5"/>
      <c r="D16" s="6" t="n">
        <v>904700</v>
      </c>
      <c r="E16" s="6" t="n">
        <v>909389</v>
      </c>
      <c r="F16" s="6" t="n">
        <v>914374</v>
      </c>
      <c r="G16" s="6" t="n">
        <v>919417</v>
      </c>
      <c r="H16" s="6" t="n">
        <v>924631</v>
      </c>
      <c r="I16" s="6" t="n">
        <v>930314</v>
      </c>
      <c r="J16" s="6" t="n">
        <v>936394</v>
      </c>
      <c r="K16" s="6" t="n">
        <v>943063</v>
      </c>
      <c r="L16" s="6" t="n">
        <v>949567</v>
      </c>
      <c r="M16" s="6" t="n">
        <v>956438</v>
      </c>
      <c r="N16" s="6" t="n">
        <v>963294</v>
      </c>
      <c r="O16" s="6" t="n">
        <v>969263</v>
      </c>
      <c r="P16" s="6" t="n">
        <v>975378</v>
      </c>
      <c r="Q16" s="6" t="n">
        <v>982034</v>
      </c>
      <c r="R16" s="6" t="n">
        <v>988403</v>
      </c>
      <c r="S16" s="6" t="n">
        <v>994888</v>
      </c>
      <c r="T16" s="6" t="n">
        <v>1001420</v>
      </c>
      <c r="U16" s="6" t="n">
        <v>1007965</v>
      </c>
      <c r="V16" s="6" t="n">
        <v>1014343</v>
      </c>
      <c r="W16" s="6" t="n">
        <v>1019548</v>
      </c>
      <c r="X16" s="6" t="n">
        <v>1024029</v>
      </c>
      <c r="Y16" s="6" t="n">
        <v>1028201</v>
      </c>
      <c r="Z16" s="6" t="n">
        <v>1032164</v>
      </c>
      <c r="AB16" s="7" t="n">
        <f aca="false">(SUM(D16:Z16)/23)</f>
        <v>969096.391304348</v>
      </c>
      <c r="AD16" s="9"/>
      <c r="AE16" s="9"/>
    </row>
    <row r="17" customFormat="false" ht="13.8" hidden="false" customHeight="false" outlineLevel="0" collapsed="false">
      <c r="A17" s="1" t="s">
        <v>32</v>
      </c>
      <c r="B17" s="5" t="s">
        <v>33</v>
      </c>
      <c r="C17" s="5"/>
      <c r="D17" s="6" t="n">
        <v>369407</v>
      </c>
      <c r="E17" s="6" t="n">
        <v>370577</v>
      </c>
      <c r="F17" s="6" t="n">
        <v>371657</v>
      </c>
      <c r="G17" s="6" t="n">
        <v>372946</v>
      </c>
      <c r="H17" s="6" t="n">
        <v>374372</v>
      </c>
      <c r="I17" s="6" t="n">
        <v>375988</v>
      </c>
      <c r="J17" s="6" t="n">
        <v>377866</v>
      </c>
      <c r="K17" s="6" t="n">
        <v>379949</v>
      </c>
      <c r="L17" s="6" t="n">
        <v>382310</v>
      </c>
      <c r="M17" s="6" t="n">
        <v>384765</v>
      </c>
      <c r="N17" s="6" t="n">
        <v>387211</v>
      </c>
      <c r="O17" s="6" t="n">
        <v>389393</v>
      </c>
      <c r="P17" s="6" t="n">
        <v>391641</v>
      </c>
      <c r="Q17" s="6" t="n">
        <v>393791</v>
      </c>
      <c r="R17" s="6" t="n">
        <v>396155</v>
      </c>
      <c r="S17" s="6" t="n">
        <v>398493</v>
      </c>
      <c r="T17" s="6" t="n">
        <v>400935</v>
      </c>
      <c r="U17" s="6" t="n">
        <v>403413</v>
      </c>
      <c r="V17" s="6" t="n">
        <v>405835</v>
      </c>
      <c r="W17" s="6" t="n">
        <v>407818</v>
      </c>
      <c r="X17" s="6" t="n">
        <v>409559</v>
      </c>
      <c r="Y17" s="6" t="n">
        <v>411205</v>
      </c>
      <c r="Z17" s="6" t="n">
        <v>412786</v>
      </c>
      <c r="AB17" s="7" t="n">
        <f aca="false">(SUM(D17:Z17)/23)</f>
        <v>389916.173913043</v>
      </c>
      <c r="AD17" s="9"/>
      <c r="AE17" s="9"/>
    </row>
    <row r="18" customFormat="false" ht="13.8" hidden="false" customHeight="false" outlineLevel="0" collapsed="false">
      <c r="A18" s="1" t="s">
        <v>34</v>
      </c>
      <c r="B18" s="5" t="s">
        <v>35</v>
      </c>
      <c r="C18" s="5"/>
      <c r="D18" s="6" t="n">
        <v>742689</v>
      </c>
      <c r="E18" s="6" t="n">
        <v>752192</v>
      </c>
      <c r="F18" s="6" t="n">
        <v>761414</v>
      </c>
      <c r="G18" s="6" t="n">
        <v>770347</v>
      </c>
      <c r="H18" s="6" t="n">
        <v>779460</v>
      </c>
      <c r="I18" s="6" t="n">
        <v>788306</v>
      </c>
      <c r="J18" s="6" t="n">
        <v>797877</v>
      </c>
      <c r="K18" s="6" t="n">
        <v>807700</v>
      </c>
      <c r="L18" s="6" t="n">
        <v>816913</v>
      </c>
      <c r="M18" s="6" t="n">
        <v>826000</v>
      </c>
      <c r="N18" s="6" t="n">
        <v>834466</v>
      </c>
      <c r="O18" s="6" t="n">
        <v>841878</v>
      </c>
      <c r="P18" s="6" t="n">
        <v>849087</v>
      </c>
      <c r="Q18" s="6" t="n">
        <v>856176</v>
      </c>
      <c r="R18" s="6" t="n">
        <v>863290</v>
      </c>
      <c r="S18" s="6" t="n">
        <v>870227</v>
      </c>
      <c r="T18" s="6" t="n">
        <v>877348</v>
      </c>
      <c r="U18" s="6" t="n">
        <v>884464</v>
      </c>
      <c r="V18" s="6" t="n">
        <v>891440</v>
      </c>
      <c r="W18" s="6" t="n">
        <v>897303</v>
      </c>
      <c r="X18" s="6" t="n">
        <v>902510</v>
      </c>
      <c r="Y18" s="6" t="n">
        <v>907429</v>
      </c>
      <c r="Z18" s="6" t="n">
        <v>912171</v>
      </c>
      <c r="AB18" s="7" t="n">
        <f aca="false">(SUM(D18:Z18)/23)</f>
        <v>836116.826086957</v>
      </c>
      <c r="AD18" s="9"/>
      <c r="AE18" s="9"/>
    </row>
    <row r="19" customFormat="false" ht="13.8" hidden="false" customHeight="false" outlineLevel="0" collapsed="false">
      <c r="A19" s="1" t="s">
        <v>36</v>
      </c>
      <c r="B19" s="5" t="s">
        <v>37</v>
      </c>
      <c r="C19" s="5"/>
      <c r="D19" s="6" t="n">
        <v>93039</v>
      </c>
      <c r="E19" s="6" t="n">
        <v>93857</v>
      </c>
      <c r="F19" s="6" t="n">
        <v>94695</v>
      </c>
      <c r="G19" s="6" t="n">
        <v>95573</v>
      </c>
      <c r="H19" s="6" t="n">
        <v>96389</v>
      </c>
      <c r="I19" s="6" t="n">
        <v>97265</v>
      </c>
      <c r="J19" s="6" t="n">
        <v>98245</v>
      </c>
      <c r="K19" s="6" t="n">
        <v>99314</v>
      </c>
      <c r="L19" s="6" t="n">
        <v>100254</v>
      </c>
      <c r="M19" s="6" t="n">
        <v>101247</v>
      </c>
      <c r="N19" s="6" t="n">
        <v>102053</v>
      </c>
      <c r="O19" s="6" t="n">
        <v>102772</v>
      </c>
      <c r="P19" s="6" t="n">
        <v>103446</v>
      </c>
      <c r="Q19" s="6" t="n">
        <v>104097</v>
      </c>
      <c r="R19" s="6" t="n">
        <v>104704</v>
      </c>
      <c r="S19" s="6" t="n">
        <v>105382</v>
      </c>
      <c r="T19" s="6" t="n">
        <v>106023</v>
      </c>
      <c r="U19" s="6" t="n">
        <v>106680</v>
      </c>
      <c r="V19" s="6" t="n">
        <v>107297</v>
      </c>
      <c r="W19" s="6" t="n">
        <v>107737</v>
      </c>
      <c r="X19" s="6" t="n">
        <v>108047</v>
      </c>
      <c r="Y19" s="6" t="n">
        <v>108306</v>
      </c>
      <c r="Z19" s="6" t="n">
        <v>108538</v>
      </c>
      <c r="AB19" s="7" t="n">
        <f aca="false">(SUM(D19:Z19)/23)</f>
        <v>101954.782608696</v>
      </c>
      <c r="AD19" s="9"/>
      <c r="AE19" s="9"/>
    </row>
    <row r="20" customFormat="false" ht="13.8" hidden="false" customHeight="false" outlineLevel="0" collapsed="false">
      <c r="A20" s="1" t="s">
        <v>38</v>
      </c>
      <c r="B20" s="5" t="s">
        <v>39</v>
      </c>
      <c r="C20" s="5"/>
      <c r="D20" s="6" t="n">
        <v>152394</v>
      </c>
      <c r="E20" s="6" t="n">
        <v>153244</v>
      </c>
      <c r="F20" s="6" t="n">
        <v>154108</v>
      </c>
      <c r="G20" s="6" t="n">
        <v>155031</v>
      </c>
      <c r="H20" s="6" t="n">
        <v>156053</v>
      </c>
      <c r="I20" s="6" t="n">
        <v>157141</v>
      </c>
      <c r="J20" s="6" t="n">
        <v>158402</v>
      </c>
      <c r="K20" s="6" t="n">
        <v>159700</v>
      </c>
      <c r="L20" s="6" t="n">
        <v>161020</v>
      </c>
      <c r="M20" s="6" t="n">
        <v>162448</v>
      </c>
      <c r="N20" s="6" t="n">
        <v>163877</v>
      </c>
      <c r="O20" s="6" t="n">
        <v>165142</v>
      </c>
      <c r="P20" s="6" t="n">
        <v>166475</v>
      </c>
      <c r="Q20" s="6" t="n">
        <v>167961</v>
      </c>
      <c r="R20" s="6" t="n">
        <v>169530</v>
      </c>
      <c r="S20" s="6" t="n">
        <v>171293</v>
      </c>
      <c r="T20" s="6" t="n">
        <v>173567</v>
      </c>
      <c r="U20" s="6" t="n">
        <v>175984</v>
      </c>
      <c r="V20" s="6" t="n">
        <v>178362</v>
      </c>
      <c r="W20" s="6" t="n">
        <v>179949</v>
      </c>
      <c r="X20" s="6" t="n">
        <v>181143</v>
      </c>
      <c r="Y20" s="6" t="n">
        <v>182217</v>
      </c>
      <c r="Z20" s="6" t="n">
        <v>183235</v>
      </c>
      <c r="AB20" s="7" t="n">
        <f aca="false">(SUM(D20:Z20)/23)</f>
        <v>166446.782608696</v>
      </c>
      <c r="AD20" s="9"/>
      <c r="AE20" s="9"/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2025-12-08T14:54:52Z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