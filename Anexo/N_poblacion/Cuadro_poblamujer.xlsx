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<sst xmlns="http://schemas.openxmlformats.org/spreadsheetml/2006/main" count="40" uniqueCount="40">
  <si>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Población nacional total mujeres, INE (número de personas)</t>
  </si>
  <si>
    <t xml:space="preserve">Reg</t>
  </si>
  <si>
    <t xml:space="preserve">Descripción series</t>
  </si>
  <si>
    <t xml:space="preserve">promedio_01_24</t>
  </si>
  <si>
    <t xml:space="preserve">prom_02_24</t>
  </si>
  <si>
    <t xml:space="preserve">diferencia(%)</t>
  </si>
  <si>
    <t xml:space="preserve">1.</t>
  </si>
  <si>
    <t xml:space="preserve">Población mujeres, INE (número de personas). </t>
  </si>
  <si>
    <t xml:space="preserve">1.1.</t>
  </si>
  <si>
    <t xml:space="preserve">       Región de Arica y Parinacota</t>
  </si>
  <si>
    <t xml:space="preserve">1.2.</t>
  </si>
  <si>
    <t xml:space="preserve">       Región de Tarapacá</t>
  </si>
  <si>
    <t xml:space="preserve">1.3.</t>
  </si>
  <si>
    <t xml:space="preserve">      Región de Antofagasta</t>
  </si>
  <si>
    <t xml:space="preserve">1.4.</t>
  </si>
  <si>
    <t xml:space="preserve">      Región de Atacama</t>
  </si>
  <si>
    <t xml:space="preserve">1.5.</t>
  </si>
  <si>
    <t xml:space="preserve">       Región de Coquimbo</t>
  </si>
  <si>
    <t xml:space="preserve">1.6.</t>
  </si>
  <si>
    <t xml:space="preserve">      Región de Valparaíso</t>
  </si>
  <si>
    <t xml:space="preserve">1.7.</t>
  </si>
  <si>
    <t xml:space="preserve">      Región Metropolitana</t>
  </si>
  <si>
    <t xml:space="preserve">1.8.</t>
  </si>
  <si>
    <t xml:space="preserve">      Región del Libertador General Bernardo O'Higgins</t>
  </si>
  <si>
    <t xml:space="preserve">1.9.</t>
  </si>
  <si>
    <t xml:space="preserve">      Región del Maule</t>
  </si>
  <si>
    <t xml:space="preserve">1.10.</t>
  </si>
  <si>
    <t xml:space="preserve">      Región del Biobío</t>
  </si>
  <si>
    <t xml:space="preserve">1.11.</t>
  </si>
  <si>
    <t xml:space="preserve">      Región de Ñuble</t>
  </si>
  <si>
    <t xml:space="preserve">1.12.</t>
  </si>
  <si>
    <t xml:space="preserve">      Región de La Araucanía</t>
  </si>
  <si>
    <t xml:space="preserve">1.13.</t>
  </si>
  <si>
    <t xml:space="preserve">      Región de Los Lagos</t>
  </si>
  <si>
    <t xml:space="preserve">1.14.</t>
  </si>
  <si>
    <t xml:space="preserve">      Región de Los Ríos</t>
  </si>
  <si>
    <t xml:space="preserve">1.15.</t>
  </si>
  <si>
    <t xml:space="preserve">      Región de Aysén del General Carlos Ibáñez del Campo</t>
  </si>
  <si>
    <t xml:space="preserve">1.16.</t>
  </si>
  <si>
    <t xml:space="preserve">      Región de Magallanes y la Antártica Chilena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</si>
</sst>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"/>
    <numFmt numFmtId="166" formatCode="#,##0.00"/>
    <numFmt numFmtId="167" formatCode="0.000"/>
    <numFmt numFmtId="168" formatCode="0.0000"/>
    <numFmt numFmtId="169" formatCode="&quot;VERDADERO&quot;;&quot;VERDADERO&quot;;&quot;FALSO&quot;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"/>
  <sheetViews>
    <sheetView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E6" activeCellId="0" sqref="AE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26" min="3" style="1" width="20"/>
    <col collapsed="false" customWidth="true" hidden="false" outlineLevel="0" max="28" min="27" style="1" width="11.43"/>
    <col collapsed="false" customWidth="true" hidden="false" outlineLevel="0" max="29" min="29" style="1" width="9.25"/>
    <col collapsed="false" customWidth="true" hidden="false" outlineLevel="0" max="32" min="32" style="1" width="11.4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/>
    <row r="3" customFormat="false" ht="15" hidden="false" customHeight="false" outlineLevel="0" collapsed="false">
      <c r="A3" s="2" t="s">
        <v>1</v>
      </c>
      <c r="B3" s="2" t="s">
        <v>2</v>
      </c>
      <c r="C3" s="3" t="n">
        <v>36892</v>
      </c>
      <c r="D3" s="3" t="n">
        <v>37257</v>
      </c>
      <c r="E3" s="3" t="n">
        <v>37622</v>
      </c>
      <c r="F3" s="3" t="n">
        <v>37987</v>
      </c>
      <c r="G3" s="3" t="n">
        <v>38353</v>
      </c>
      <c r="H3" s="3" t="n">
        <v>38718</v>
      </c>
      <c r="I3" s="3" t="n">
        <v>39083</v>
      </c>
      <c r="J3" s="3" t="n">
        <v>39448</v>
      </c>
      <c r="K3" s="3" t="n">
        <v>39814</v>
      </c>
      <c r="L3" s="3" t="n">
        <v>40179</v>
      </c>
      <c r="M3" s="3" t="n">
        <v>40544</v>
      </c>
      <c r="N3" s="3" t="n">
        <v>40909</v>
      </c>
      <c r="O3" s="3" t="n">
        <v>41275</v>
      </c>
      <c r="P3" s="3" t="n">
        <v>41640</v>
      </c>
      <c r="Q3" s="3" t="n">
        <v>42005</v>
      </c>
      <c r="R3" s="3" t="n">
        <v>42370</v>
      </c>
      <c r="S3" s="3" t="n">
        <v>42736</v>
      </c>
      <c r="T3" s="3" t="n">
        <v>43101</v>
      </c>
      <c r="U3" s="3" t="n">
        <v>43466</v>
      </c>
      <c r="V3" s="3" t="n">
        <v>43831</v>
      </c>
      <c r="W3" s="3" t="n">
        <v>44197</v>
      </c>
      <c r="X3" s="3" t="n">
        <v>44562</v>
      </c>
      <c r="Y3" s="3" t="n">
        <v>44927</v>
      </c>
      <c r="Z3" s="3" t="n">
        <v>45292</v>
      </c>
      <c r="AA3" s="4" t="s">
        <v>3</v>
      </c>
      <c r="AB3" s="4" t="s">
        <v>4</v>
      </c>
      <c r="AC3" s="4" t="s">
        <v>5</v>
      </c>
    </row>
    <row r="4" customFormat="false" ht="13.8" hidden="false" customHeight="false" outlineLevel="0" collapsed="false">
      <c r="A4" s="1" t="s">
        <v>6</v>
      </c>
      <c r="B4" s="5" t="s">
        <v>7</v>
      </c>
      <c r="C4" s="6" t="n">
        <v>7884154</v>
      </c>
      <c r="D4" s="6" t="n">
        <v>7971000</v>
      </c>
      <c r="E4" s="6" t="n">
        <v>8054716</v>
      </c>
      <c r="F4" s="6" t="n">
        <v>8138515</v>
      </c>
      <c r="G4" s="6" t="n">
        <v>8220438</v>
      </c>
      <c r="H4" s="6" t="n">
        <v>8303926</v>
      </c>
      <c r="I4" s="6" t="n">
        <v>8390194</v>
      </c>
      <c r="J4" s="6" t="n">
        <v>8481317</v>
      </c>
      <c r="K4" s="6" t="n">
        <v>8574065</v>
      </c>
      <c r="L4" s="6" t="n">
        <v>8666525</v>
      </c>
      <c r="M4" s="6" t="n">
        <v>8762836</v>
      </c>
      <c r="N4" s="6" t="n">
        <v>8858785</v>
      </c>
      <c r="O4" s="6" t="n">
        <v>8944258</v>
      </c>
      <c r="P4" s="6" t="n">
        <v>9033189</v>
      </c>
      <c r="Q4" s="6" t="n">
        <v>9125974</v>
      </c>
      <c r="R4" s="6" t="n">
        <v>9223665</v>
      </c>
      <c r="S4" s="6" t="n">
        <v>9344975</v>
      </c>
      <c r="T4" s="6" t="n">
        <v>9506921</v>
      </c>
      <c r="U4" s="6" t="n">
        <v>9683077</v>
      </c>
      <c r="V4" s="6" t="n">
        <v>9859209</v>
      </c>
      <c r="W4" s="6" t="n">
        <v>9969851</v>
      </c>
      <c r="X4" s="6" t="n">
        <v>10045585</v>
      </c>
      <c r="Y4" s="6" t="n">
        <v>10112423</v>
      </c>
      <c r="Z4" s="6" t="n">
        <v>10175877</v>
      </c>
      <c r="AA4" s="4" t="n">
        <f aca="false">SUM(C4:Z4)/24</f>
        <v>8972144.79166667</v>
      </c>
      <c r="AB4" s="7" t="n">
        <f aca="false">SUM(D4:Z4)/23</f>
        <v>9019448.73913044</v>
      </c>
      <c r="AC4" s="8" t="n">
        <f aca="false">((AB4-AA4)/AB4)*100</f>
        <v>0.524466060309691</v>
      </c>
      <c r="AD4" s="9"/>
    </row>
    <row r="5" customFormat="false" ht="13.8" hidden="false" customHeight="false" outlineLevel="0" collapsed="false">
      <c r="A5" s="1" t="s">
        <v>8</v>
      </c>
      <c r="B5" s="5" t="s">
        <v>9</v>
      </c>
      <c r="C5" s="5"/>
      <c r="D5" s="6" t="n">
        <v>98779</v>
      </c>
      <c r="E5" s="6" t="n">
        <v>99871</v>
      </c>
      <c r="F5" s="6" t="n">
        <v>101048</v>
      </c>
      <c r="G5" s="6" t="n">
        <v>102212</v>
      </c>
      <c r="H5" s="6" t="n">
        <v>103424</v>
      </c>
      <c r="I5" s="6" t="n">
        <v>104645</v>
      </c>
      <c r="J5" s="6" t="n">
        <v>106033</v>
      </c>
      <c r="K5" s="6" t="n">
        <v>107464</v>
      </c>
      <c r="L5" s="6" t="n">
        <v>108917</v>
      </c>
      <c r="M5" s="6" t="n">
        <v>110557</v>
      </c>
      <c r="N5" s="6" t="n">
        <v>112176</v>
      </c>
      <c r="O5" s="6" t="n">
        <v>113490</v>
      </c>
      <c r="P5" s="6" t="n">
        <v>114829</v>
      </c>
      <c r="Q5" s="6" t="n">
        <v>116186</v>
      </c>
      <c r="R5" s="6" t="n">
        <v>117443</v>
      </c>
      <c r="S5" s="6" t="n">
        <v>118770</v>
      </c>
      <c r="T5" s="6" t="n">
        <v>120724</v>
      </c>
      <c r="U5" s="6" t="n">
        <v>122969</v>
      </c>
      <c r="V5" s="6" t="n">
        <v>125366</v>
      </c>
      <c r="W5" s="6" t="n">
        <v>126869</v>
      </c>
      <c r="X5" s="6" t="n">
        <v>127901</v>
      </c>
      <c r="Y5" s="6" t="n">
        <v>128803</v>
      </c>
      <c r="Z5" s="6" t="n">
        <v>129654</v>
      </c>
      <c r="AB5" s="7" t="n">
        <f aca="false">SUM(D5:Z5)/23</f>
        <v>113831.739130435</v>
      </c>
      <c r="AD5" s="9"/>
      <c r="AE5" s="9"/>
      <c r="AF5" s="10"/>
    </row>
    <row r="6" customFormat="false" ht="13.8" hidden="false" customHeight="false" outlineLevel="0" collapsed="false">
      <c r="A6" s="1" t="s">
        <v>10</v>
      </c>
      <c r="B6" s="5" t="s">
        <v>11</v>
      </c>
      <c r="C6" s="5"/>
      <c r="D6" s="6" t="n">
        <v>120662</v>
      </c>
      <c r="E6" s="6" t="n">
        <v>123321</v>
      </c>
      <c r="F6" s="6" t="n">
        <v>126166</v>
      </c>
      <c r="G6" s="6" t="n">
        <v>129028</v>
      </c>
      <c r="H6" s="6" t="n">
        <v>131950</v>
      </c>
      <c r="I6" s="6" t="n">
        <v>134987</v>
      </c>
      <c r="J6" s="6" t="n">
        <v>138170</v>
      </c>
      <c r="K6" s="6" t="n">
        <v>141402</v>
      </c>
      <c r="L6" s="6" t="n">
        <v>144609</v>
      </c>
      <c r="M6" s="6" t="n">
        <v>148126</v>
      </c>
      <c r="N6" s="6" t="n">
        <v>151726</v>
      </c>
      <c r="O6" s="6" t="n">
        <v>155110</v>
      </c>
      <c r="P6" s="6" t="n">
        <v>158690</v>
      </c>
      <c r="Q6" s="6" t="n">
        <v>162152</v>
      </c>
      <c r="R6" s="6" t="n">
        <v>165427</v>
      </c>
      <c r="S6" s="6" t="n">
        <v>169036</v>
      </c>
      <c r="T6" s="6" t="n">
        <v>175550</v>
      </c>
      <c r="U6" s="6" t="n">
        <v>182636</v>
      </c>
      <c r="V6" s="6" t="n">
        <v>189628</v>
      </c>
      <c r="W6" s="6" t="n">
        <v>193888</v>
      </c>
      <c r="X6" s="6" t="n">
        <v>196724</v>
      </c>
      <c r="Y6" s="6" t="n">
        <v>199241</v>
      </c>
      <c r="Z6" s="6" t="n">
        <v>201659</v>
      </c>
      <c r="AB6" s="7" t="n">
        <f aca="false">SUM(D6:Z6)/23</f>
        <v>158256</v>
      </c>
      <c r="AD6" s="9"/>
      <c r="AE6" s="9"/>
    </row>
    <row r="7" customFormat="false" ht="13.8" hidden="false" customHeight="false" outlineLevel="0" collapsed="false">
      <c r="A7" s="1" t="s">
        <v>12</v>
      </c>
      <c r="B7" s="5" t="s">
        <v>13</v>
      </c>
      <c r="C7" s="5"/>
      <c r="D7" s="6" t="n">
        <v>246997</v>
      </c>
      <c r="E7" s="6" t="n">
        <v>250547</v>
      </c>
      <c r="F7" s="6" t="n">
        <v>254127</v>
      </c>
      <c r="G7" s="6" t="n">
        <v>257613</v>
      </c>
      <c r="H7" s="6" t="n">
        <v>261133</v>
      </c>
      <c r="I7" s="6" t="n">
        <v>264858</v>
      </c>
      <c r="J7" s="6" t="n">
        <v>268793</v>
      </c>
      <c r="K7" s="6" t="n">
        <v>272670</v>
      </c>
      <c r="L7" s="6" t="n">
        <v>276543</v>
      </c>
      <c r="M7" s="6" t="n">
        <v>280588</v>
      </c>
      <c r="N7" s="6" t="n">
        <v>284577</v>
      </c>
      <c r="O7" s="6" t="n">
        <v>289057</v>
      </c>
      <c r="P7" s="6" t="n">
        <v>294037</v>
      </c>
      <c r="Q7" s="6" t="n">
        <v>298633</v>
      </c>
      <c r="R7" s="6" t="n">
        <v>303202</v>
      </c>
      <c r="S7" s="6" t="n">
        <v>308497</v>
      </c>
      <c r="T7" s="6" t="n">
        <v>319713</v>
      </c>
      <c r="U7" s="6" t="n">
        <v>331896</v>
      </c>
      <c r="V7" s="6" t="n">
        <v>343644</v>
      </c>
      <c r="W7" s="6" t="n">
        <v>349689</v>
      </c>
      <c r="X7" s="6" t="n">
        <v>352724</v>
      </c>
      <c r="Y7" s="6" t="n">
        <v>355070</v>
      </c>
      <c r="Z7" s="6" t="n">
        <v>357223</v>
      </c>
      <c r="AB7" s="7" t="n">
        <f aca="false">SUM(D7:Z7)/23</f>
        <v>296601.347826087</v>
      </c>
      <c r="AD7" s="9"/>
      <c r="AE7" s="9"/>
    </row>
    <row r="8" customFormat="false" ht="13.8" hidden="false" customHeight="false" outlineLevel="0" collapsed="false">
      <c r="A8" s="1" t="s">
        <v>14</v>
      </c>
      <c r="B8" s="5" t="s">
        <v>15</v>
      </c>
      <c r="C8" s="5"/>
      <c r="D8" s="6" t="n">
        <v>130486</v>
      </c>
      <c r="E8" s="6" t="n">
        <v>131696</v>
      </c>
      <c r="F8" s="6" t="n">
        <v>132846</v>
      </c>
      <c r="G8" s="6" t="n">
        <v>133999</v>
      </c>
      <c r="H8" s="6" t="n">
        <v>135274</v>
      </c>
      <c r="I8" s="6" t="n">
        <v>136635</v>
      </c>
      <c r="J8" s="6" t="n">
        <v>138056</v>
      </c>
      <c r="K8" s="6" t="n">
        <v>139547</v>
      </c>
      <c r="L8" s="6" t="n">
        <v>141081</v>
      </c>
      <c r="M8" s="6" t="n">
        <v>142654</v>
      </c>
      <c r="N8" s="6" t="n">
        <v>144121</v>
      </c>
      <c r="O8" s="6" t="n">
        <v>145518</v>
      </c>
      <c r="P8" s="6" t="n">
        <v>146970</v>
      </c>
      <c r="Q8" s="6" t="n">
        <v>148259</v>
      </c>
      <c r="R8" s="6" t="n">
        <v>149453</v>
      </c>
      <c r="S8" s="6" t="n">
        <v>150572</v>
      </c>
      <c r="T8" s="6" t="n">
        <v>152240</v>
      </c>
      <c r="U8" s="6" t="n">
        <v>154024</v>
      </c>
      <c r="V8" s="6" t="n">
        <v>155770</v>
      </c>
      <c r="W8" s="6" t="n">
        <v>156840</v>
      </c>
      <c r="X8" s="6" t="n">
        <v>157536</v>
      </c>
      <c r="Y8" s="6" t="n">
        <v>158126</v>
      </c>
      <c r="Z8" s="6" t="n">
        <v>158661</v>
      </c>
      <c r="AB8" s="7" t="n">
        <f aca="false">SUM(D8:Z8)/23</f>
        <v>145233.217391304</v>
      </c>
      <c r="AD8" s="9"/>
      <c r="AE8" s="9"/>
    </row>
    <row r="9" customFormat="false" ht="13.8" hidden="false" customHeight="false" outlineLevel="0" collapsed="false">
      <c r="A9" s="1" t="s">
        <v>16</v>
      </c>
      <c r="B9" s="5" t="s">
        <v>17</v>
      </c>
      <c r="C9" s="5"/>
      <c r="D9" s="6" t="n">
        <v>318464</v>
      </c>
      <c r="E9" s="6" t="n">
        <v>323074</v>
      </c>
      <c r="F9" s="6" t="n">
        <v>327746</v>
      </c>
      <c r="G9" s="6" t="n">
        <v>332508</v>
      </c>
      <c r="H9" s="6" t="n">
        <v>337431</v>
      </c>
      <c r="I9" s="6" t="n">
        <v>342425</v>
      </c>
      <c r="J9" s="6" t="n">
        <v>347791</v>
      </c>
      <c r="K9" s="6" t="n">
        <v>353523</v>
      </c>
      <c r="L9" s="6" t="n">
        <v>359467</v>
      </c>
      <c r="M9" s="6" t="n">
        <v>365638</v>
      </c>
      <c r="N9" s="6" t="n">
        <v>371978</v>
      </c>
      <c r="O9" s="6" t="n">
        <v>378283</v>
      </c>
      <c r="P9" s="6" t="n">
        <v>384723</v>
      </c>
      <c r="Q9" s="6" t="n">
        <v>391326</v>
      </c>
      <c r="R9" s="6" t="n">
        <v>397711</v>
      </c>
      <c r="S9" s="6" t="n">
        <v>404290</v>
      </c>
      <c r="T9" s="6" t="n">
        <v>411577</v>
      </c>
      <c r="U9" s="6" t="n">
        <v>419063</v>
      </c>
      <c r="V9" s="6" t="n">
        <v>426482</v>
      </c>
      <c r="W9" s="6" t="n">
        <v>432718</v>
      </c>
      <c r="X9" s="6" t="n">
        <v>438303</v>
      </c>
      <c r="Y9" s="6" t="n">
        <v>443703</v>
      </c>
      <c r="Z9" s="6" t="n">
        <v>449019</v>
      </c>
      <c r="AB9" s="7" t="n">
        <f aca="false">SUM(D9:Z9)/23</f>
        <v>380749.695652174</v>
      </c>
      <c r="AD9" s="9"/>
      <c r="AE9" s="9"/>
    </row>
    <row r="10" customFormat="false" ht="13.8" hidden="false" customHeight="false" outlineLevel="0" collapsed="false">
      <c r="A10" s="1" t="s">
        <v>18</v>
      </c>
      <c r="B10" s="5" t="s">
        <v>19</v>
      </c>
      <c r="C10" s="5"/>
      <c r="D10" s="6" t="n">
        <v>817154</v>
      </c>
      <c r="E10" s="6" t="n">
        <v>826454</v>
      </c>
      <c r="F10" s="6" t="n">
        <v>835593</v>
      </c>
      <c r="G10" s="6" t="n">
        <v>844594</v>
      </c>
      <c r="H10" s="6" t="n">
        <v>853660</v>
      </c>
      <c r="I10" s="6" t="n">
        <v>862921</v>
      </c>
      <c r="J10" s="6" t="n">
        <v>872678</v>
      </c>
      <c r="K10" s="6" t="n">
        <v>882706</v>
      </c>
      <c r="L10" s="6" t="n">
        <v>892827</v>
      </c>
      <c r="M10" s="6" t="n">
        <v>903132</v>
      </c>
      <c r="N10" s="6" t="n">
        <v>913716</v>
      </c>
      <c r="O10" s="6" t="n">
        <v>923361</v>
      </c>
      <c r="P10" s="6" t="n">
        <v>933199</v>
      </c>
      <c r="Q10" s="6" t="n">
        <v>943369</v>
      </c>
      <c r="R10" s="6" t="n">
        <v>953450</v>
      </c>
      <c r="S10" s="6" t="n">
        <v>964267</v>
      </c>
      <c r="T10" s="6" t="n">
        <v>976310</v>
      </c>
      <c r="U10" s="6" t="n">
        <v>988877</v>
      </c>
      <c r="V10" s="6" t="n">
        <v>1001498</v>
      </c>
      <c r="W10" s="6" t="n">
        <v>1011365</v>
      </c>
      <c r="X10" s="6" t="n">
        <v>1019720</v>
      </c>
      <c r="Y10" s="6" t="n">
        <v>1027654</v>
      </c>
      <c r="Z10" s="6" t="n">
        <v>1035345</v>
      </c>
      <c r="AB10" s="7" t="n">
        <f aca="false">SUM(D10:Z10)/23</f>
        <v>925384.782608696</v>
      </c>
      <c r="AD10" s="9"/>
      <c r="AE10" s="9"/>
    </row>
    <row r="11" customFormat="false" ht="13.8" hidden="false" customHeight="false" outlineLevel="0" collapsed="false">
      <c r="A11" s="1" t="s">
        <v>20</v>
      </c>
      <c r="B11" s="5" t="s">
        <v>21</v>
      </c>
      <c r="C11" s="5"/>
      <c r="D11" s="6" t="n">
        <v>3246180</v>
      </c>
      <c r="E11" s="6" t="n">
        <v>3281853</v>
      </c>
      <c r="F11" s="6" t="n">
        <v>3317651</v>
      </c>
      <c r="G11" s="6" t="n">
        <v>3352032</v>
      </c>
      <c r="H11" s="6" t="n">
        <v>3387078</v>
      </c>
      <c r="I11" s="6" t="n">
        <v>3423029</v>
      </c>
      <c r="J11" s="6" t="n">
        <v>3460685</v>
      </c>
      <c r="K11" s="6" t="n">
        <v>3497794</v>
      </c>
      <c r="L11" s="6" t="n">
        <v>3534238</v>
      </c>
      <c r="M11" s="6" t="n">
        <v>3572690</v>
      </c>
      <c r="N11" s="6" t="n">
        <v>3611527</v>
      </c>
      <c r="O11" s="6" t="n">
        <v>3643087</v>
      </c>
      <c r="P11" s="6" t="n">
        <v>3676573</v>
      </c>
      <c r="Q11" s="6" t="n">
        <v>3713124</v>
      </c>
      <c r="R11" s="6" t="n">
        <v>3755071</v>
      </c>
      <c r="S11" s="6" t="n">
        <v>3818325</v>
      </c>
      <c r="T11" s="6" t="n">
        <v>3909711</v>
      </c>
      <c r="U11" s="6" t="n">
        <v>4011860</v>
      </c>
      <c r="V11" s="6" t="n">
        <v>4114656</v>
      </c>
      <c r="W11" s="6" t="n">
        <v>4171195</v>
      </c>
      <c r="X11" s="6" t="n">
        <v>4203260</v>
      </c>
      <c r="Y11" s="6" t="n">
        <v>4229515</v>
      </c>
      <c r="Z11" s="6" t="n">
        <v>4253885</v>
      </c>
      <c r="AB11" s="7" t="n">
        <f aca="false">SUM(D11:Z11)/23</f>
        <v>3703696.47826087</v>
      </c>
      <c r="AD11" s="9"/>
      <c r="AE11" s="9"/>
    </row>
    <row r="12" customFormat="false" ht="13.8" hidden="false" customHeight="false" outlineLevel="0" collapsed="false">
      <c r="A12" s="1" t="s">
        <v>22</v>
      </c>
      <c r="B12" s="5" t="s">
        <v>23</v>
      </c>
      <c r="C12" s="5"/>
      <c r="D12" s="6" t="n">
        <v>402913</v>
      </c>
      <c r="E12" s="6" t="n">
        <v>407424</v>
      </c>
      <c r="F12" s="6" t="n">
        <v>411920</v>
      </c>
      <c r="G12" s="6" t="n">
        <v>416327</v>
      </c>
      <c r="H12" s="6" t="n">
        <v>420713</v>
      </c>
      <c r="I12" s="6" t="n">
        <v>425276</v>
      </c>
      <c r="J12" s="6" t="n">
        <v>430209</v>
      </c>
      <c r="K12" s="6" t="n">
        <v>435304</v>
      </c>
      <c r="L12" s="6" t="n">
        <v>440461</v>
      </c>
      <c r="M12" s="6" t="n">
        <v>445646</v>
      </c>
      <c r="N12" s="6" t="n">
        <v>450802</v>
      </c>
      <c r="O12" s="6" t="n">
        <v>455790</v>
      </c>
      <c r="P12" s="6" t="n">
        <v>460805</v>
      </c>
      <c r="Q12" s="6" t="n">
        <v>465946</v>
      </c>
      <c r="R12" s="6" t="n">
        <v>471335</v>
      </c>
      <c r="S12" s="6" t="n">
        <v>477048</v>
      </c>
      <c r="T12" s="6" t="n">
        <v>483031</v>
      </c>
      <c r="U12" s="6" t="n">
        <v>489206</v>
      </c>
      <c r="V12" s="6" t="n">
        <v>495389</v>
      </c>
      <c r="W12" s="6" t="n">
        <v>500431</v>
      </c>
      <c r="X12" s="6" t="n">
        <v>504841</v>
      </c>
      <c r="Y12" s="6" t="n">
        <v>509029</v>
      </c>
      <c r="Z12" s="6" t="n">
        <v>513089</v>
      </c>
      <c r="AB12" s="7" t="n">
        <f aca="false">SUM(D12:Z12)/23</f>
        <v>457084.130434783</v>
      </c>
      <c r="AD12" s="9"/>
      <c r="AE12" s="9"/>
    </row>
    <row r="13" customFormat="false" ht="13.8" hidden="false" customHeight="false" outlineLevel="0" collapsed="false">
      <c r="A13" s="1" t="s">
        <v>24</v>
      </c>
      <c r="B13" s="5" t="s">
        <v>25</v>
      </c>
      <c r="C13" s="5"/>
      <c r="D13" s="6" t="n">
        <v>473413</v>
      </c>
      <c r="E13" s="6" t="n">
        <v>478003</v>
      </c>
      <c r="F13" s="6" t="n">
        <v>482576</v>
      </c>
      <c r="G13" s="6" t="n">
        <v>486997</v>
      </c>
      <c r="H13" s="6" t="n">
        <v>491514</v>
      </c>
      <c r="I13" s="6" t="n">
        <v>496308</v>
      </c>
      <c r="J13" s="6" t="n">
        <v>501467</v>
      </c>
      <c r="K13" s="6" t="n">
        <v>506929</v>
      </c>
      <c r="L13" s="6" t="n">
        <v>512528</v>
      </c>
      <c r="M13" s="6" t="n">
        <v>518291</v>
      </c>
      <c r="N13" s="6" t="n">
        <v>523929</v>
      </c>
      <c r="O13" s="6" t="n">
        <v>529626</v>
      </c>
      <c r="P13" s="6" t="n">
        <v>535542</v>
      </c>
      <c r="Q13" s="6" t="n">
        <v>541874</v>
      </c>
      <c r="R13" s="6" t="n">
        <v>548291</v>
      </c>
      <c r="S13" s="6" t="n">
        <v>555001</v>
      </c>
      <c r="T13" s="6" t="n">
        <v>561860</v>
      </c>
      <c r="U13" s="6" t="n">
        <v>568851</v>
      </c>
      <c r="V13" s="6" t="n">
        <v>575839</v>
      </c>
      <c r="W13" s="6" t="n">
        <v>581890</v>
      </c>
      <c r="X13" s="6" t="n">
        <v>587431</v>
      </c>
      <c r="Y13" s="6" t="n">
        <v>592745</v>
      </c>
      <c r="Z13" s="6" t="n">
        <v>597934</v>
      </c>
      <c r="AB13" s="7" t="n">
        <f aca="false">SUM(D13:Z13)/23</f>
        <v>532558.217391304</v>
      </c>
      <c r="AD13" s="9"/>
      <c r="AE13" s="9"/>
    </row>
    <row r="14" customFormat="false" ht="13.8" hidden="false" customHeight="false" outlineLevel="0" collapsed="false">
      <c r="A14" s="1" t="s">
        <v>26</v>
      </c>
      <c r="B14" s="5" t="s">
        <v>27</v>
      </c>
      <c r="C14" s="5"/>
      <c r="D14" s="6" t="n">
        <v>755107</v>
      </c>
      <c r="E14" s="6" t="n">
        <v>760768</v>
      </c>
      <c r="F14" s="6" t="n">
        <v>766163</v>
      </c>
      <c r="G14" s="6" t="n">
        <v>771381</v>
      </c>
      <c r="H14" s="6" t="n">
        <v>776597</v>
      </c>
      <c r="I14" s="6" t="n">
        <v>782169</v>
      </c>
      <c r="J14" s="6" t="n">
        <v>787805</v>
      </c>
      <c r="K14" s="6" t="n">
        <v>793679</v>
      </c>
      <c r="L14" s="6" t="n">
        <v>799698</v>
      </c>
      <c r="M14" s="6" t="n">
        <v>805948</v>
      </c>
      <c r="N14" s="6" t="n">
        <v>811769</v>
      </c>
      <c r="O14" s="6" t="n">
        <v>817042</v>
      </c>
      <c r="P14" s="6" t="n">
        <v>822388</v>
      </c>
      <c r="Q14" s="6" t="n">
        <v>827863</v>
      </c>
      <c r="R14" s="6" t="n">
        <v>833222</v>
      </c>
      <c r="S14" s="6" t="n">
        <v>838222</v>
      </c>
      <c r="T14" s="6" t="n">
        <v>843112</v>
      </c>
      <c r="U14" s="6" t="n">
        <v>848156</v>
      </c>
      <c r="V14" s="6" t="n">
        <v>853119</v>
      </c>
      <c r="W14" s="6" t="n">
        <v>857044</v>
      </c>
      <c r="X14" s="6" t="n">
        <v>860371</v>
      </c>
      <c r="Y14" s="6" t="n">
        <v>863428</v>
      </c>
      <c r="Z14" s="6" t="n">
        <v>866303</v>
      </c>
      <c r="AB14" s="7" t="n">
        <f aca="false">SUM(D14:Z14)/23</f>
        <v>814841.47826087</v>
      </c>
      <c r="AD14" s="9"/>
      <c r="AE14" s="9"/>
    </row>
    <row r="15" customFormat="false" ht="13.8" hidden="false" customHeight="false" outlineLevel="0" collapsed="false">
      <c r="A15" s="1" t="s">
        <v>28</v>
      </c>
      <c r="B15" s="5" t="s">
        <v>29</v>
      </c>
      <c r="C15" s="5"/>
      <c r="D15" s="6" t="n">
        <v>229684</v>
      </c>
      <c r="E15" s="6" t="n">
        <v>231089</v>
      </c>
      <c r="F15" s="6" t="n">
        <v>232558</v>
      </c>
      <c r="G15" s="6" t="n">
        <v>234086</v>
      </c>
      <c r="H15" s="6" t="n">
        <v>235679</v>
      </c>
      <c r="I15" s="6" t="n">
        <v>237402</v>
      </c>
      <c r="J15" s="6" t="n">
        <v>239196</v>
      </c>
      <c r="K15" s="6" t="n">
        <v>241118</v>
      </c>
      <c r="L15" s="6" t="n">
        <v>243047</v>
      </c>
      <c r="M15" s="6" t="n">
        <v>245089</v>
      </c>
      <c r="N15" s="6" t="n">
        <v>247058</v>
      </c>
      <c r="O15" s="6" t="n">
        <v>248869</v>
      </c>
      <c r="P15" s="6" t="n">
        <v>250807</v>
      </c>
      <c r="Q15" s="6" t="n">
        <v>252835</v>
      </c>
      <c r="R15" s="6" t="n">
        <v>254930</v>
      </c>
      <c r="S15" s="6" t="n">
        <v>257130</v>
      </c>
      <c r="T15" s="6" t="n">
        <v>259315</v>
      </c>
      <c r="U15" s="6" t="n">
        <v>261544</v>
      </c>
      <c r="V15" s="6" t="n">
        <v>263759</v>
      </c>
      <c r="W15" s="6" t="n">
        <v>265649</v>
      </c>
      <c r="X15" s="6" t="n">
        <v>267336</v>
      </c>
      <c r="Y15" s="6" t="n">
        <v>268937</v>
      </c>
      <c r="Z15" s="6" t="n">
        <v>270479</v>
      </c>
      <c r="AB15" s="7" t="n">
        <f aca="false">SUM(D15:Z15)/23</f>
        <v>249460.695652174</v>
      </c>
      <c r="AD15" s="9"/>
      <c r="AE15" s="9"/>
    </row>
    <row r="16" customFormat="false" ht="13.8" hidden="false" customHeight="false" outlineLevel="0" collapsed="false">
      <c r="A16" s="1" t="s">
        <v>30</v>
      </c>
      <c r="B16" s="5" t="s">
        <v>31</v>
      </c>
      <c r="C16" s="5"/>
      <c r="D16" s="6" t="n">
        <v>456449</v>
      </c>
      <c r="E16" s="6" t="n">
        <v>459193</v>
      </c>
      <c r="F16" s="6" t="n">
        <v>462141</v>
      </c>
      <c r="G16" s="6" t="n">
        <v>465145</v>
      </c>
      <c r="H16" s="6" t="n">
        <v>468243</v>
      </c>
      <c r="I16" s="6" t="n">
        <v>471586</v>
      </c>
      <c r="J16" s="6" t="n">
        <v>475127</v>
      </c>
      <c r="K16" s="6" t="n">
        <v>478959</v>
      </c>
      <c r="L16" s="6" t="n">
        <v>482716</v>
      </c>
      <c r="M16" s="6" t="n">
        <v>486631</v>
      </c>
      <c r="N16" s="6" t="n">
        <v>490519</v>
      </c>
      <c r="O16" s="6" t="n">
        <v>493932</v>
      </c>
      <c r="P16" s="6" t="n">
        <v>497389</v>
      </c>
      <c r="Q16" s="6" t="n">
        <v>501095</v>
      </c>
      <c r="R16" s="6" t="n">
        <v>504606</v>
      </c>
      <c r="S16" s="6" t="n">
        <v>508096</v>
      </c>
      <c r="T16" s="6" t="n">
        <v>511587</v>
      </c>
      <c r="U16" s="6" t="n">
        <v>515131</v>
      </c>
      <c r="V16" s="6" t="n">
        <v>518608</v>
      </c>
      <c r="W16" s="6" t="n">
        <v>521500</v>
      </c>
      <c r="X16" s="6" t="n">
        <v>524051</v>
      </c>
      <c r="Y16" s="6" t="n">
        <v>526440</v>
      </c>
      <c r="Z16" s="6" t="n">
        <v>528726</v>
      </c>
      <c r="AB16" s="7" t="n">
        <f aca="false">SUM(D16:Z16)/23</f>
        <v>493385.652173913</v>
      </c>
      <c r="AD16" s="9"/>
      <c r="AE16" s="9"/>
    </row>
    <row r="17" customFormat="false" ht="13.8" hidden="false" customHeight="false" outlineLevel="0" collapsed="false">
      <c r="A17" s="1" t="s">
        <v>32</v>
      </c>
      <c r="B17" s="5" t="s">
        <v>33</v>
      </c>
      <c r="C17" s="5"/>
      <c r="D17" s="6" t="n">
        <v>369980</v>
      </c>
      <c r="E17" s="6" t="n">
        <v>375058</v>
      </c>
      <c r="F17" s="6" t="n">
        <v>379975</v>
      </c>
      <c r="G17" s="6" t="n">
        <v>384718</v>
      </c>
      <c r="H17" s="6" t="n">
        <v>389536</v>
      </c>
      <c r="I17" s="6" t="n">
        <v>394213</v>
      </c>
      <c r="J17" s="6" t="n">
        <v>399251</v>
      </c>
      <c r="K17" s="6" t="n">
        <v>404413</v>
      </c>
      <c r="L17" s="6" t="n">
        <v>409252</v>
      </c>
      <c r="M17" s="6" t="n">
        <v>413996</v>
      </c>
      <c r="N17" s="6" t="n">
        <v>418412</v>
      </c>
      <c r="O17" s="6" t="n">
        <v>422276</v>
      </c>
      <c r="P17" s="6" t="n">
        <v>426040</v>
      </c>
      <c r="Q17" s="6" t="n">
        <v>429722</v>
      </c>
      <c r="R17" s="6" t="n">
        <v>433409</v>
      </c>
      <c r="S17" s="6" t="n">
        <v>436968</v>
      </c>
      <c r="T17" s="6" t="n">
        <v>440552</v>
      </c>
      <c r="U17" s="6" t="n">
        <v>444206</v>
      </c>
      <c r="V17" s="6" t="n">
        <v>447823</v>
      </c>
      <c r="W17" s="6" t="n">
        <v>450885</v>
      </c>
      <c r="X17" s="6" t="n">
        <v>453621</v>
      </c>
      <c r="Y17" s="6" t="n">
        <v>456230</v>
      </c>
      <c r="Z17" s="6" t="n">
        <v>458758</v>
      </c>
      <c r="AB17" s="7" t="n">
        <f aca="false">SUM(D17:Z17)/23</f>
        <v>419099.739130435</v>
      </c>
      <c r="AD17" s="9"/>
      <c r="AE17" s="9"/>
    </row>
    <row r="18" customFormat="false" ht="13.8" hidden="false" customHeight="false" outlineLevel="0" collapsed="false">
      <c r="A18" s="1" t="s">
        <v>34</v>
      </c>
      <c r="B18" s="5" t="s">
        <v>35</v>
      </c>
      <c r="C18" s="5"/>
      <c r="D18" s="6" t="n">
        <v>184816</v>
      </c>
      <c r="E18" s="6" t="n">
        <v>185574</v>
      </c>
      <c r="F18" s="6" t="n">
        <v>186311</v>
      </c>
      <c r="G18" s="6" t="n">
        <v>187160</v>
      </c>
      <c r="H18" s="6" t="n">
        <v>188096</v>
      </c>
      <c r="I18" s="6" t="n">
        <v>189119</v>
      </c>
      <c r="J18" s="6" t="n">
        <v>190286</v>
      </c>
      <c r="K18" s="6" t="n">
        <v>191567</v>
      </c>
      <c r="L18" s="6" t="n">
        <v>192994</v>
      </c>
      <c r="M18" s="6" t="n">
        <v>194469</v>
      </c>
      <c r="N18" s="6" t="n">
        <v>195945</v>
      </c>
      <c r="O18" s="6" t="n">
        <v>197265</v>
      </c>
      <c r="P18" s="6" t="n">
        <v>198606</v>
      </c>
      <c r="Q18" s="6" t="n">
        <v>199893</v>
      </c>
      <c r="R18" s="6" t="n">
        <v>201294</v>
      </c>
      <c r="S18" s="6" t="n">
        <v>202680</v>
      </c>
      <c r="T18" s="6" t="n">
        <v>204059</v>
      </c>
      <c r="U18" s="6" t="n">
        <v>205487</v>
      </c>
      <c r="V18" s="6" t="n">
        <v>206920</v>
      </c>
      <c r="W18" s="6" t="n">
        <v>208131</v>
      </c>
      <c r="X18" s="6" t="n">
        <v>209224</v>
      </c>
      <c r="Y18" s="6" t="n">
        <v>210257</v>
      </c>
      <c r="Z18" s="6" t="n">
        <v>211246</v>
      </c>
      <c r="AB18" s="7" t="n">
        <f aca="false">SUM(D18:Z18)/23</f>
        <v>197452.130434783</v>
      </c>
      <c r="AD18" s="9"/>
      <c r="AE18" s="9"/>
    </row>
    <row r="19" customFormat="false" ht="13.8" hidden="false" customHeight="false" outlineLevel="0" collapsed="false">
      <c r="A19" s="1" t="s">
        <v>36</v>
      </c>
      <c r="B19" s="5" t="s">
        <v>37</v>
      </c>
      <c r="C19" s="5"/>
      <c r="D19" s="6" t="n">
        <v>45153</v>
      </c>
      <c r="E19" s="6" t="n">
        <v>45590</v>
      </c>
      <c r="F19" s="6" t="n">
        <v>46047</v>
      </c>
      <c r="G19" s="6" t="n">
        <v>46522</v>
      </c>
      <c r="H19" s="6" t="n">
        <v>46964</v>
      </c>
      <c r="I19" s="6" t="n">
        <v>47437</v>
      </c>
      <c r="J19" s="6" t="n">
        <v>47961</v>
      </c>
      <c r="K19" s="6" t="n">
        <v>48530</v>
      </c>
      <c r="L19" s="6" t="n">
        <v>49036</v>
      </c>
      <c r="M19" s="6" t="n">
        <v>49569</v>
      </c>
      <c r="N19" s="6" t="n">
        <v>50010</v>
      </c>
      <c r="O19" s="6" t="n">
        <v>50405</v>
      </c>
      <c r="P19" s="6" t="n">
        <v>50791</v>
      </c>
      <c r="Q19" s="6" t="n">
        <v>51160</v>
      </c>
      <c r="R19" s="6" t="n">
        <v>51504</v>
      </c>
      <c r="S19" s="6" t="n">
        <v>51906</v>
      </c>
      <c r="T19" s="6" t="n">
        <v>52259</v>
      </c>
      <c r="U19" s="6" t="n">
        <v>52642</v>
      </c>
      <c r="V19" s="6" t="n">
        <v>53021</v>
      </c>
      <c r="W19" s="6" t="n">
        <v>53308</v>
      </c>
      <c r="X19" s="6" t="n">
        <v>53523</v>
      </c>
      <c r="Y19" s="6" t="n">
        <v>53714</v>
      </c>
      <c r="Z19" s="6" t="n">
        <v>53887</v>
      </c>
      <c r="AB19" s="7" t="n">
        <f aca="false">SUM(D19:Z19)/23</f>
        <v>50040.8260869565</v>
      </c>
      <c r="AD19" s="9"/>
      <c r="AE19" s="9"/>
    </row>
    <row r="20" customFormat="false" ht="13.8" hidden="false" customHeight="false" outlineLevel="0" collapsed="false">
      <c r="A20" s="1" t="s">
        <v>38</v>
      </c>
      <c r="B20" s="5" t="s">
        <v>39</v>
      </c>
      <c r="C20" s="5"/>
      <c r="D20" s="6" t="n">
        <v>74763</v>
      </c>
      <c r="E20" s="6" t="n">
        <v>75201</v>
      </c>
      <c r="F20" s="6" t="n">
        <v>75647</v>
      </c>
      <c r="G20" s="6" t="n">
        <v>76116</v>
      </c>
      <c r="H20" s="6" t="n">
        <v>76634</v>
      </c>
      <c r="I20" s="6" t="n">
        <v>77184</v>
      </c>
      <c r="J20" s="6" t="n">
        <v>77809</v>
      </c>
      <c r="K20" s="6" t="n">
        <v>78460</v>
      </c>
      <c r="L20" s="6" t="n">
        <v>79111</v>
      </c>
      <c r="M20" s="6" t="n">
        <v>79812</v>
      </c>
      <c r="N20" s="6" t="n">
        <v>80520</v>
      </c>
      <c r="O20" s="6" t="n">
        <v>81147</v>
      </c>
      <c r="P20" s="6" t="n">
        <v>81800</v>
      </c>
      <c r="Q20" s="6" t="n">
        <v>82537</v>
      </c>
      <c r="R20" s="6" t="n">
        <v>83317</v>
      </c>
      <c r="S20" s="6" t="n">
        <v>84167</v>
      </c>
      <c r="T20" s="6" t="n">
        <v>85321</v>
      </c>
      <c r="U20" s="6" t="n">
        <v>86529</v>
      </c>
      <c r="V20" s="6" t="n">
        <v>87687</v>
      </c>
      <c r="W20" s="6" t="n">
        <v>88449</v>
      </c>
      <c r="X20" s="6" t="n">
        <v>89019</v>
      </c>
      <c r="Y20" s="6" t="n">
        <v>89531</v>
      </c>
      <c r="Z20" s="6" t="n">
        <v>90009</v>
      </c>
      <c r="AB20" s="7" t="n">
        <f aca="false">SUM(D20:Z20)/23</f>
        <v>81772.6086956522</v>
      </c>
      <c r="AD20" s="9"/>
      <c r="AE20" s="9"/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2025-12-08T14:56:09Z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